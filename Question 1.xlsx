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046772\Desktop\New folder\"/>
    </mc:Choice>
  </mc:AlternateContent>
  <xr:revisionPtr revIDLastSave="0" documentId="8_{1594E6BA-FA86-4482-BA7D-9B1E5C25AD89}" xr6:coauthVersionLast="47" xr6:coauthVersionMax="47" xr10:uidLastSave="{00000000-0000-0000-0000-000000000000}"/>
  <bookViews>
    <workbookView xWindow="-108" yWindow="-108" windowWidth="23256" windowHeight="13896" xr2:uid="{6A75F73A-5BAE-43FD-B74B-94E90DBB5C96}"/>
  </bookViews>
  <sheets>
    <sheet name="SINGLE VARIABL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7" i="1" l="1"/>
  <c r="D237" i="1"/>
  <c r="E236" i="1"/>
  <c r="D236" i="1"/>
  <c r="I235" i="1"/>
  <c r="J235" i="1" s="1"/>
  <c r="E235" i="1"/>
  <c r="D235" i="1"/>
  <c r="E234" i="1"/>
  <c r="D234" i="1"/>
  <c r="E233" i="1"/>
  <c r="D233" i="1"/>
  <c r="E232" i="1"/>
  <c r="D232" i="1"/>
  <c r="I231" i="1"/>
  <c r="J231" i="1" s="1"/>
  <c r="E231" i="1"/>
  <c r="D231" i="1"/>
  <c r="I230" i="1"/>
  <c r="J230" i="1" s="1"/>
  <c r="E230" i="1"/>
  <c r="D230" i="1"/>
  <c r="E229" i="1"/>
  <c r="D229" i="1"/>
  <c r="I228" i="1"/>
  <c r="J228" i="1" s="1"/>
  <c r="E228" i="1"/>
  <c r="D228" i="1"/>
  <c r="E227" i="1"/>
  <c r="D227" i="1"/>
  <c r="E226" i="1"/>
  <c r="D226" i="1"/>
  <c r="E225" i="1"/>
  <c r="D225" i="1"/>
  <c r="I224" i="1"/>
  <c r="J224" i="1" s="1"/>
  <c r="E224" i="1"/>
  <c r="D224" i="1"/>
  <c r="I223" i="1"/>
  <c r="J223" i="1" s="1"/>
  <c r="E223" i="1"/>
  <c r="D223" i="1"/>
  <c r="E222" i="1"/>
  <c r="D222" i="1"/>
  <c r="I221" i="1"/>
  <c r="J221" i="1" s="1"/>
  <c r="E221" i="1"/>
  <c r="D221" i="1"/>
  <c r="E220" i="1"/>
  <c r="D220" i="1"/>
  <c r="E219" i="1"/>
  <c r="D219" i="1"/>
  <c r="E218" i="1"/>
  <c r="D218" i="1"/>
  <c r="I217" i="1"/>
  <c r="J217" i="1" s="1"/>
  <c r="E217" i="1"/>
  <c r="D217" i="1"/>
  <c r="I216" i="1"/>
  <c r="J216" i="1" s="1"/>
  <c r="E216" i="1"/>
  <c r="D216" i="1"/>
  <c r="E215" i="1"/>
  <c r="D215" i="1"/>
  <c r="I214" i="1"/>
  <c r="J214" i="1" s="1"/>
  <c r="E214" i="1"/>
  <c r="D214" i="1"/>
  <c r="E213" i="1"/>
  <c r="D213" i="1"/>
  <c r="E212" i="1"/>
  <c r="D212" i="1"/>
  <c r="E211" i="1"/>
  <c r="D211" i="1"/>
  <c r="I210" i="1"/>
  <c r="J210" i="1" s="1"/>
  <c r="E210" i="1"/>
  <c r="D210" i="1"/>
  <c r="I209" i="1"/>
  <c r="J209" i="1" s="1"/>
  <c r="E209" i="1"/>
  <c r="D209" i="1"/>
  <c r="E208" i="1"/>
  <c r="D208" i="1"/>
  <c r="I207" i="1"/>
  <c r="J207" i="1" s="1"/>
  <c r="E207" i="1"/>
  <c r="D207" i="1"/>
  <c r="E206" i="1"/>
  <c r="D206" i="1"/>
  <c r="E205" i="1"/>
  <c r="D205" i="1"/>
  <c r="E204" i="1"/>
  <c r="D204" i="1"/>
  <c r="I203" i="1"/>
  <c r="J203" i="1" s="1"/>
  <c r="E203" i="1"/>
  <c r="D203" i="1"/>
  <c r="I202" i="1"/>
  <c r="J202" i="1" s="1"/>
  <c r="E202" i="1"/>
  <c r="D202" i="1"/>
  <c r="E201" i="1"/>
  <c r="D201" i="1"/>
  <c r="I200" i="1"/>
  <c r="J200" i="1" s="1"/>
  <c r="E200" i="1"/>
  <c r="D200" i="1"/>
  <c r="E199" i="1"/>
  <c r="D199" i="1"/>
  <c r="E198" i="1"/>
  <c r="D198" i="1"/>
  <c r="E197" i="1"/>
  <c r="D197" i="1"/>
  <c r="I196" i="1"/>
  <c r="J196" i="1" s="1"/>
  <c r="E196" i="1"/>
  <c r="D196" i="1"/>
  <c r="I195" i="1"/>
  <c r="J195" i="1" s="1"/>
  <c r="E195" i="1"/>
  <c r="D195" i="1"/>
  <c r="E194" i="1"/>
  <c r="D194" i="1"/>
  <c r="I193" i="1"/>
  <c r="J193" i="1" s="1"/>
  <c r="E193" i="1"/>
  <c r="D193" i="1"/>
  <c r="E192" i="1"/>
  <c r="D192" i="1"/>
  <c r="E191" i="1"/>
  <c r="D191" i="1"/>
  <c r="E190" i="1"/>
  <c r="D190" i="1"/>
  <c r="I189" i="1"/>
  <c r="J189" i="1" s="1"/>
  <c r="E189" i="1"/>
  <c r="D189" i="1"/>
  <c r="I188" i="1"/>
  <c r="J188" i="1" s="1"/>
  <c r="E188" i="1"/>
  <c r="D188" i="1"/>
  <c r="E187" i="1"/>
  <c r="D187" i="1"/>
  <c r="I186" i="1"/>
  <c r="J186" i="1" s="1"/>
  <c r="E186" i="1"/>
  <c r="D186" i="1"/>
  <c r="E185" i="1"/>
  <c r="D185" i="1"/>
  <c r="E184" i="1"/>
  <c r="D184" i="1"/>
  <c r="E183" i="1"/>
  <c r="D183" i="1"/>
  <c r="I182" i="1"/>
  <c r="J182" i="1" s="1"/>
  <c r="E182" i="1"/>
  <c r="D182" i="1"/>
  <c r="I181" i="1"/>
  <c r="J181" i="1" s="1"/>
  <c r="E181" i="1"/>
  <c r="D181" i="1"/>
  <c r="E180" i="1"/>
  <c r="D180" i="1"/>
  <c r="I179" i="1"/>
  <c r="J179" i="1" s="1"/>
  <c r="E179" i="1"/>
  <c r="D179" i="1"/>
  <c r="E178" i="1"/>
  <c r="D178" i="1"/>
  <c r="E177" i="1"/>
  <c r="D177" i="1"/>
  <c r="E176" i="1"/>
  <c r="D176" i="1"/>
  <c r="I175" i="1"/>
  <c r="J175" i="1" s="1"/>
  <c r="E175" i="1"/>
  <c r="D175" i="1"/>
  <c r="I174" i="1"/>
  <c r="J174" i="1" s="1"/>
  <c r="E174" i="1"/>
  <c r="D174" i="1"/>
  <c r="E173" i="1"/>
  <c r="D173" i="1"/>
  <c r="I172" i="1"/>
  <c r="J172" i="1" s="1"/>
  <c r="E172" i="1"/>
  <c r="D172" i="1"/>
  <c r="E171" i="1"/>
  <c r="D171" i="1"/>
  <c r="E170" i="1"/>
  <c r="D170" i="1"/>
  <c r="E169" i="1"/>
  <c r="D169" i="1"/>
  <c r="I168" i="1"/>
  <c r="J168" i="1" s="1"/>
  <c r="E168" i="1"/>
  <c r="D168" i="1"/>
  <c r="I167" i="1"/>
  <c r="J167" i="1" s="1"/>
  <c r="E167" i="1"/>
  <c r="D167" i="1"/>
  <c r="E166" i="1"/>
  <c r="D166" i="1"/>
  <c r="I165" i="1"/>
  <c r="J165" i="1" s="1"/>
  <c r="E165" i="1"/>
  <c r="D165" i="1"/>
  <c r="E164" i="1"/>
  <c r="D164" i="1"/>
  <c r="E163" i="1"/>
  <c r="D163" i="1"/>
  <c r="E162" i="1"/>
  <c r="D162" i="1"/>
  <c r="I161" i="1"/>
  <c r="J161" i="1" s="1"/>
  <c r="E161" i="1"/>
  <c r="D161" i="1"/>
  <c r="I160" i="1"/>
  <c r="J160" i="1" s="1"/>
  <c r="E160" i="1"/>
  <c r="D160" i="1"/>
  <c r="E159" i="1"/>
  <c r="D159" i="1"/>
  <c r="I158" i="1"/>
  <c r="J158" i="1" s="1"/>
  <c r="E158" i="1"/>
  <c r="D158" i="1"/>
  <c r="E157" i="1"/>
  <c r="D157" i="1"/>
  <c r="E156" i="1"/>
  <c r="D156" i="1"/>
  <c r="E155" i="1"/>
  <c r="D155" i="1"/>
  <c r="I154" i="1"/>
  <c r="J154" i="1" s="1"/>
  <c r="E154" i="1"/>
  <c r="D154" i="1"/>
  <c r="I153" i="1"/>
  <c r="J153" i="1" s="1"/>
  <c r="E153" i="1"/>
  <c r="D153" i="1"/>
  <c r="E152" i="1"/>
  <c r="D152" i="1"/>
  <c r="I151" i="1"/>
  <c r="J151" i="1" s="1"/>
  <c r="E151" i="1"/>
  <c r="D151" i="1"/>
  <c r="E150" i="1"/>
  <c r="D150" i="1"/>
  <c r="E149" i="1"/>
  <c r="D149" i="1"/>
  <c r="E148" i="1"/>
  <c r="D148" i="1"/>
  <c r="I147" i="1"/>
  <c r="J147" i="1" s="1"/>
  <c r="E147" i="1"/>
  <c r="D147" i="1"/>
  <c r="I146" i="1"/>
  <c r="J146" i="1" s="1"/>
  <c r="E146" i="1"/>
  <c r="D146" i="1"/>
  <c r="E145" i="1"/>
  <c r="D145" i="1"/>
  <c r="I144" i="1"/>
  <c r="J144" i="1" s="1"/>
  <c r="E144" i="1"/>
  <c r="D144" i="1"/>
  <c r="E143" i="1"/>
  <c r="D143" i="1"/>
  <c r="E142" i="1"/>
  <c r="D142" i="1"/>
  <c r="E141" i="1"/>
  <c r="D141" i="1"/>
  <c r="I140" i="1"/>
  <c r="J140" i="1" s="1"/>
  <c r="E140" i="1"/>
  <c r="D140" i="1"/>
  <c r="I139" i="1"/>
  <c r="J139" i="1" s="1"/>
  <c r="E139" i="1"/>
  <c r="D139" i="1"/>
  <c r="E138" i="1"/>
  <c r="D138" i="1"/>
  <c r="I137" i="1"/>
  <c r="J137" i="1" s="1"/>
  <c r="E137" i="1"/>
  <c r="D137" i="1"/>
  <c r="E136" i="1"/>
  <c r="D136" i="1"/>
  <c r="E135" i="1"/>
  <c r="D135" i="1"/>
  <c r="E134" i="1"/>
  <c r="D134" i="1"/>
  <c r="I133" i="1"/>
  <c r="J133" i="1" s="1"/>
  <c r="E133" i="1"/>
  <c r="D133" i="1"/>
  <c r="I132" i="1"/>
  <c r="J132" i="1" s="1"/>
  <c r="E132" i="1"/>
  <c r="D132" i="1"/>
  <c r="E131" i="1"/>
  <c r="D131" i="1"/>
  <c r="I130" i="1"/>
  <c r="J130" i="1" s="1"/>
  <c r="E130" i="1"/>
  <c r="D130" i="1"/>
  <c r="E129" i="1"/>
  <c r="D129" i="1"/>
  <c r="E128" i="1"/>
  <c r="D128" i="1"/>
  <c r="E127" i="1"/>
  <c r="D127" i="1"/>
  <c r="I126" i="1"/>
  <c r="J126" i="1" s="1"/>
  <c r="E126" i="1"/>
  <c r="D126" i="1"/>
  <c r="I125" i="1"/>
  <c r="J125" i="1" s="1"/>
  <c r="E125" i="1"/>
  <c r="D125" i="1"/>
  <c r="E124" i="1"/>
  <c r="D124" i="1"/>
  <c r="I123" i="1"/>
  <c r="J123" i="1" s="1"/>
  <c r="E123" i="1"/>
  <c r="D123" i="1"/>
  <c r="E122" i="1"/>
  <c r="D122" i="1"/>
  <c r="E121" i="1"/>
  <c r="D121" i="1"/>
  <c r="E120" i="1"/>
  <c r="D120" i="1"/>
  <c r="I119" i="1"/>
  <c r="J119" i="1" s="1"/>
  <c r="E119" i="1"/>
  <c r="D119" i="1"/>
  <c r="I118" i="1"/>
  <c r="J118" i="1" s="1"/>
  <c r="E118" i="1"/>
  <c r="D118" i="1"/>
  <c r="E117" i="1"/>
  <c r="D117" i="1"/>
  <c r="I116" i="1"/>
  <c r="J116" i="1" s="1"/>
  <c r="E116" i="1"/>
  <c r="D116" i="1"/>
  <c r="E115" i="1"/>
  <c r="D115" i="1"/>
  <c r="I114" i="1"/>
  <c r="J114" i="1" s="1"/>
  <c r="E114" i="1"/>
  <c r="D114" i="1"/>
  <c r="E113" i="1"/>
  <c r="D113" i="1"/>
  <c r="I112" i="1"/>
  <c r="J112" i="1" s="1"/>
  <c r="E112" i="1"/>
  <c r="D112" i="1"/>
  <c r="I111" i="1"/>
  <c r="J111" i="1" s="1"/>
  <c r="E111" i="1"/>
  <c r="D111" i="1"/>
  <c r="E110" i="1"/>
  <c r="D110" i="1"/>
  <c r="I109" i="1"/>
  <c r="J109" i="1" s="1"/>
  <c r="E109" i="1"/>
  <c r="D109" i="1"/>
  <c r="E108" i="1"/>
  <c r="D108" i="1"/>
  <c r="I107" i="1"/>
  <c r="J107" i="1" s="1"/>
  <c r="E107" i="1"/>
  <c r="D107" i="1"/>
  <c r="E106" i="1"/>
  <c r="D106" i="1"/>
  <c r="I105" i="1"/>
  <c r="J105" i="1" s="1"/>
  <c r="E105" i="1"/>
  <c r="D105" i="1"/>
  <c r="I104" i="1"/>
  <c r="J104" i="1" s="1"/>
  <c r="E104" i="1"/>
  <c r="D104" i="1"/>
  <c r="E103" i="1"/>
  <c r="D103" i="1"/>
  <c r="I102" i="1"/>
  <c r="J102" i="1" s="1"/>
  <c r="E102" i="1"/>
  <c r="D102" i="1"/>
  <c r="E101" i="1"/>
  <c r="D101" i="1"/>
  <c r="J100" i="1"/>
  <c r="I100" i="1"/>
  <c r="E100" i="1"/>
  <c r="D100" i="1"/>
  <c r="E99" i="1"/>
  <c r="D99" i="1"/>
  <c r="I98" i="1"/>
  <c r="J98" i="1" s="1"/>
  <c r="E98" i="1"/>
  <c r="D98" i="1"/>
  <c r="I97" i="1"/>
  <c r="J97" i="1" s="1"/>
  <c r="E97" i="1"/>
  <c r="D97" i="1"/>
  <c r="E96" i="1"/>
  <c r="D96" i="1"/>
  <c r="I95" i="1"/>
  <c r="J95" i="1" s="1"/>
  <c r="E95" i="1"/>
  <c r="D95" i="1"/>
  <c r="E94" i="1"/>
  <c r="D94" i="1"/>
  <c r="I93" i="1"/>
  <c r="J93" i="1" s="1"/>
  <c r="E93" i="1"/>
  <c r="D93" i="1"/>
  <c r="E92" i="1"/>
  <c r="D92" i="1"/>
  <c r="I91" i="1"/>
  <c r="J91" i="1" s="1"/>
  <c r="E91" i="1"/>
  <c r="D91" i="1"/>
  <c r="I90" i="1"/>
  <c r="J90" i="1" s="1"/>
  <c r="E90" i="1"/>
  <c r="D90" i="1"/>
  <c r="E89" i="1"/>
  <c r="D89" i="1"/>
  <c r="I88" i="1"/>
  <c r="J88" i="1" s="1"/>
  <c r="E88" i="1"/>
  <c r="D88" i="1"/>
  <c r="E87" i="1"/>
  <c r="D87" i="1"/>
  <c r="I86" i="1"/>
  <c r="J86" i="1" s="1"/>
  <c r="E86" i="1"/>
  <c r="D86" i="1"/>
  <c r="E85" i="1"/>
  <c r="D85" i="1"/>
  <c r="I84" i="1"/>
  <c r="J84" i="1" s="1"/>
  <c r="E84" i="1"/>
  <c r="D84" i="1"/>
  <c r="I83" i="1"/>
  <c r="J83" i="1" s="1"/>
  <c r="E83" i="1"/>
  <c r="D83" i="1"/>
  <c r="E82" i="1"/>
  <c r="D82" i="1"/>
  <c r="I81" i="1"/>
  <c r="J81" i="1" s="1"/>
  <c r="E81" i="1"/>
  <c r="D81" i="1"/>
  <c r="E80" i="1"/>
  <c r="D80" i="1"/>
  <c r="I79" i="1"/>
  <c r="J79" i="1" s="1"/>
  <c r="E79" i="1"/>
  <c r="D79" i="1"/>
  <c r="E78" i="1"/>
  <c r="D78" i="1"/>
  <c r="I77" i="1"/>
  <c r="J77" i="1" s="1"/>
  <c r="E77" i="1"/>
  <c r="D77" i="1"/>
  <c r="J76" i="1"/>
  <c r="I76" i="1"/>
  <c r="E76" i="1"/>
  <c r="D76" i="1"/>
  <c r="E75" i="1"/>
  <c r="D75" i="1"/>
  <c r="I74" i="1"/>
  <c r="J74" i="1" s="1"/>
  <c r="E74" i="1"/>
  <c r="D74" i="1"/>
  <c r="I73" i="1"/>
  <c r="J73" i="1" s="1"/>
  <c r="E73" i="1"/>
  <c r="D73" i="1"/>
  <c r="E72" i="1"/>
  <c r="D72" i="1"/>
  <c r="E71" i="1"/>
  <c r="D71" i="1"/>
  <c r="I70" i="1"/>
  <c r="J70" i="1" s="1"/>
  <c r="E70" i="1"/>
  <c r="D70" i="1"/>
  <c r="E69" i="1"/>
  <c r="D69" i="1"/>
  <c r="J68" i="1"/>
  <c r="I68" i="1"/>
  <c r="E68" i="1"/>
  <c r="D68" i="1"/>
  <c r="E67" i="1"/>
  <c r="D67" i="1"/>
  <c r="I66" i="1"/>
  <c r="J66" i="1" s="1"/>
  <c r="E66" i="1"/>
  <c r="D66" i="1"/>
  <c r="E65" i="1"/>
  <c r="D65" i="1"/>
  <c r="I64" i="1"/>
  <c r="J64" i="1" s="1"/>
  <c r="E64" i="1"/>
  <c r="D64" i="1"/>
  <c r="E63" i="1"/>
  <c r="D63" i="1"/>
  <c r="J62" i="1"/>
  <c r="I62" i="1"/>
  <c r="E62" i="1"/>
  <c r="D62" i="1"/>
  <c r="E61" i="1"/>
  <c r="D61" i="1"/>
  <c r="I60" i="1"/>
  <c r="J60" i="1" s="1"/>
  <c r="E60" i="1"/>
  <c r="D60" i="1"/>
  <c r="E59" i="1"/>
  <c r="D59" i="1"/>
  <c r="J58" i="1"/>
  <c r="I58" i="1"/>
  <c r="E58" i="1"/>
  <c r="D58" i="1"/>
  <c r="E57" i="1"/>
  <c r="D57" i="1"/>
  <c r="J56" i="1"/>
  <c r="I56" i="1"/>
  <c r="E56" i="1"/>
  <c r="D56" i="1"/>
  <c r="E55" i="1"/>
  <c r="D55" i="1"/>
  <c r="J54" i="1"/>
  <c r="I54" i="1"/>
  <c r="E54" i="1"/>
  <c r="D54" i="1"/>
  <c r="E53" i="1"/>
  <c r="D53" i="1"/>
  <c r="I52" i="1"/>
  <c r="J52" i="1" s="1"/>
  <c r="E52" i="1"/>
  <c r="D52" i="1"/>
  <c r="E51" i="1"/>
  <c r="D51" i="1"/>
  <c r="I50" i="1"/>
  <c r="J50" i="1" s="1"/>
  <c r="E50" i="1"/>
  <c r="D50" i="1"/>
  <c r="E49" i="1"/>
  <c r="D49" i="1"/>
  <c r="J48" i="1"/>
  <c r="I48" i="1"/>
  <c r="E48" i="1"/>
  <c r="D48" i="1"/>
  <c r="E47" i="1"/>
  <c r="D47" i="1"/>
  <c r="I46" i="1"/>
  <c r="J46" i="1" s="1"/>
  <c r="E46" i="1"/>
  <c r="D46" i="1"/>
  <c r="E45" i="1"/>
  <c r="D45" i="1"/>
  <c r="J44" i="1"/>
  <c r="I44" i="1"/>
  <c r="E44" i="1"/>
  <c r="D44" i="1"/>
  <c r="E43" i="1"/>
  <c r="D43" i="1"/>
  <c r="J42" i="1"/>
  <c r="I42" i="1"/>
  <c r="E42" i="1"/>
  <c r="D42" i="1"/>
  <c r="E41" i="1"/>
  <c r="D41" i="1"/>
  <c r="J40" i="1"/>
  <c r="I40" i="1"/>
  <c r="E40" i="1"/>
  <c r="D40" i="1"/>
  <c r="E39" i="1"/>
  <c r="D39" i="1"/>
  <c r="I38" i="1"/>
  <c r="J38" i="1" s="1"/>
  <c r="E38" i="1"/>
  <c r="D38" i="1"/>
  <c r="E37" i="1"/>
  <c r="D37" i="1"/>
  <c r="I36" i="1"/>
  <c r="J36" i="1" s="1"/>
  <c r="E36" i="1"/>
  <c r="D36" i="1"/>
  <c r="E35" i="1"/>
  <c r="D35" i="1"/>
  <c r="J34" i="1"/>
  <c r="I34" i="1"/>
  <c r="E34" i="1"/>
  <c r="D34" i="1"/>
  <c r="E33" i="1"/>
  <c r="D33" i="1"/>
  <c r="J32" i="1"/>
  <c r="I32" i="1"/>
  <c r="E32" i="1"/>
  <c r="D32" i="1"/>
  <c r="E31" i="1"/>
  <c r="D31" i="1"/>
  <c r="J30" i="1"/>
  <c r="I30" i="1"/>
  <c r="E30" i="1"/>
  <c r="D30" i="1"/>
  <c r="E29" i="1"/>
  <c r="D29" i="1"/>
  <c r="J28" i="1"/>
  <c r="I28" i="1"/>
  <c r="E28" i="1"/>
  <c r="D28" i="1"/>
  <c r="E27" i="1"/>
  <c r="D27" i="1"/>
  <c r="J26" i="1"/>
  <c r="I26" i="1"/>
  <c r="E26" i="1"/>
  <c r="D26" i="1"/>
  <c r="E25" i="1"/>
  <c r="D25" i="1"/>
  <c r="I24" i="1"/>
  <c r="J24" i="1" s="1"/>
  <c r="E24" i="1"/>
  <c r="D24" i="1"/>
  <c r="E23" i="1"/>
  <c r="D23" i="1"/>
  <c r="I22" i="1"/>
  <c r="J22" i="1" s="1"/>
  <c r="E22" i="1"/>
  <c r="D22" i="1"/>
  <c r="E21" i="1"/>
  <c r="D21" i="1"/>
  <c r="J20" i="1"/>
  <c r="I20" i="1"/>
  <c r="E20" i="1"/>
  <c r="D20" i="1"/>
  <c r="E19" i="1"/>
  <c r="D19" i="1"/>
  <c r="J18" i="1"/>
  <c r="I18" i="1"/>
  <c r="E18" i="1"/>
  <c r="D18" i="1"/>
  <c r="E17" i="1"/>
  <c r="D17" i="1"/>
  <c r="J16" i="1"/>
  <c r="I16" i="1"/>
  <c r="E16" i="1"/>
  <c r="D16" i="1"/>
  <c r="E15" i="1"/>
  <c r="D15" i="1"/>
  <c r="J14" i="1"/>
  <c r="I14" i="1"/>
  <c r="E14" i="1"/>
  <c r="D14" i="1"/>
  <c r="E13" i="1"/>
  <c r="D13" i="1"/>
  <c r="J12" i="1"/>
  <c r="I12" i="1"/>
  <c r="E12" i="1"/>
  <c r="D12" i="1"/>
  <c r="E11" i="1"/>
  <c r="D11" i="1"/>
  <c r="I10" i="1"/>
  <c r="J10" i="1" s="1"/>
  <c r="E10" i="1"/>
  <c r="D10" i="1"/>
  <c r="E9" i="1"/>
  <c r="D9" i="1"/>
  <c r="E8" i="1"/>
  <c r="D8" i="1"/>
  <c r="I7" i="1"/>
  <c r="J7" i="1" s="1"/>
  <c r="E7" i="1"/>
  <c r="D7" i="1"/>
  <c r="I6" i="1"/>
  <c r="J6" i="1" s="1"/>
  <c r="E6" i="1"/>
  <c r="D6" i="1"/>
  <c r="E5" i="1"/>
  <c r="D5" i="1"/>
  <c r="M4" i="1"/>
  <c r="J4" i="1"/>
  <c r="I4" i="1"/>
  <c r="E4" i="1"/>
  <c r="D4" i="1"/>
  <c r="M3" i="1"/>
  <c r="I237" i="1" s="1"/>
  <c r="J237" i="1" s="1"/>
  <c r="I3" i="1"/>
  <c r="J3" i="1" s="1"/>
  <c r="E3" i="1"/>
  <c r="D3" i="1"/>
  <c r="M2" i="1"/>
  <c r="E2" i="1"/>
  <c r="D2" i="1"/>
  <c r="M5" i="1" l="1"/>
  <c r="M6" i="1"/>
  <c r="I8" i="1"/>
  <c r="J8" i="1" s="1"/>
  <c r="I72" i="1"/>
  <c r="J72" i="1" s="1"/>
  <c r="I121" i="1"/>
  <c r="J121" i="1" s="1"/>
  <c r="I128" i="1"/>
  <c r="J128" i="1" s="1"/>
  <c r="I135" i="1"/>
  <c r="J135" i="1" s="1"/>
  <c r="I142" i="1"/>
  <c r="J142" i="1" s="1"/>
  <c r="I149" i="1"/>
  <c r="J149" i="1" s="1"/>
  <c r="I156" i="1"/>
  <c r="J156" i="1" s="1"/>
  <c r="I163" i="1"/>
  <c r="J163" i="1" s="1"/>
  <c r="I170" i="1"/>
  <c r="J170" i="1" s="1"/>
  <c r="I177" i="1"/>
  <c r="J177" i="1" s="1"/>
  <c r="I184" i="1"/>
  <c r="J184" i="1" s="1"/>
  <c r="I191" i="1"/>
  <c r="J191" i="1" s="1"/>
  <c r="I198" i="1"/>
  <c r="J198" i="1" s="1"/>
  <c r="I205" i="1"/>
  <c r="J205" i="1" s="1"/>
  <c r="I212" i="1"/>
  <c r="J212" i="1" s="1"/>
  <c r="I219" i="1"/>
  <c r="J219" i="1" s="1"/>
  <c r="I226" i="1"/>
  <c r="J226" i="1" s="1"/>
  <c r="I233" i="1"/>
  <c r="J233" i="1" s="1"/>
  <c r="I5" i="1"/>
  <c r="J5" i="1" s="1"/>
  <c r="I75" i="1"/>
  <c r="J75" i="1" s="1"/>
  <c r="I82" i="1"/>
  <c r="J82" i="1" s="1"/>
  <c r="I89" i="1"/>
  <c r="J89" i="1" s="1"/>
  <c r="I96" i="1"/>
  <c r="J96" i="1" s="1"/>
  <c r="I103" i="1"/>
  <c r="J103" i="1" s="1"/>
  <c r="I110" i="1"/>
  <c r="J110" i="1" s="1"/>
  <c r="I117" i="1"/>
  <c r="J117" i="1" s="1"/>
  <c r="I124" i="1"/>
  <c r="J124" i="1" s="1"/>
  <c r="I131" i="1"/>
  <c r="J131" i="1" s="1"/>
  <c r="I138" i="1"/>
  <c r="J138" i="1" s="1"/>
  <c r="I145" i="1"/>
  <c r="J145" i="1" s="1"/>
  <c r="I152" i="1"/>
  <c r="J152" i="1" s="1"/>
  <c r="I159" i="1"/>
  <c r="J159" i="1" s="1"/>
  <c r="I166" i="1"/>
  <c r="J166" i="1" s="1"/>
  <c r="I173" i="1"/>
  <c r="J173" i="1" s="1"/>
  <c r="I180" i="1"/>
  <c r="J180" i="1" s="1"/>
  <c r="I187" i="1"/>
  <c r="J187" i="1" s="1"/>
  <c r="I194" i="1"/>
  <c r="J194" i="1" s="1"/>
  <c r="I201" i="1"/>
  <c r="J201" i="1" s="1"/>
  <c r="I208" i="1"/>
  <c r="J208" i="1" s="1"/>
  <c r="I215" i="1"/>
  <c r="J215" i="1" s="1"/>
  <c r="I222" i="1"/>
  <c r="J222" i="1" s="1"/>
  <c r="I229" i="1"/>
  <c r="J229" i="1" s="1"/>
  <c r="I236" i="1"/>
  <c r="J236" i="1" s="1"/>
  <c r="I71" i="1"/>
  <c r="J71" i="1" s="1"/>
  <c r="I80" i="1"/>
  <c r="J80" i="1" s="1"/>
  <c r="I87" i="1"/>
  <c r="J87" i="1" s="1"/>
  <c r="I94" i="1"/>
  <c r="J94" i="1" s="1"/>
  <c r="I101" i="1"/>
  <c r="J101" i="1" s="1"/>
  <c r="I108" i="1"/>
  <c r="J108" i="1" s="1"/>
  <c r="I115" i="1"/>
  <c r="J115" i="1" s="1"/>
  <c r="I122" i="1"/>
  <c r="J122" i="1" s="1"/>
  <c r="I129" i="1"/>
  <c r="J129" i="1" s="1"/>
  <c r="I136" i="1"/>
  <c r="J136" i="1" s="1"/>
  <c r="I143" i="1"/>
  <c r="J143" i="1" s="1"/>
  <c r="I150" i="1"/>
  <c r="J150" i="1" s="1"/>
  <c r="I157" i="1"/>
  <c r="J157" i="1" s="1"/>
  <c r="I164" i="1"/>
  <c r="J164" i="1" s="1"/>
  <c r="I171" i="1"/>
  <c r="J171" i="1" s="1"/>
  <c r="I178" i="1"/>
  <c r="J178" i="1" s="1"/>
  <c r="I185" i="1"/>
  <c r="J185" i="1" s="1"/>
  <c r="I192" i="1"/>
  <c r="J192" i="1" s="1"/>
  <c r="I199" i="1"/>
  <c r="J199" i="1" s="1"/>
  <c r="I206" i="1"/>
  <c r="J206" i="1" s="1"/>
  <c r="I213" i="1"/>
  <c r="J213" i="1" s="1"/>
  <c r="I220" i="1"/>
  <c r="J220" i="1" s="1"/>
  <c r="I227" i="1"/>
  <c r="J227" i="1" s="1"/>
  <c r="I234" i="1"/>
  <c r="J234" i="1" s="1"/>
  <c r="I2" i="1"/>
  <c r="J2" i="1" s="1"/>
  <c r="I9" i="1"/>
  <c r="J9" i="1" s="1"/>
  <c r="I69" i="1"/>
  <c r="J69" i="1" s="1"/>
  <c r="I11" i="1"/>
  <c r="J11" i="1" s="1"/>
  <c r="I13" i="1"/>
  <c r="J13" i="1" s="1"/>
  <c r="I15" i="1"/>
  <c r="J15" i="1" s="1"/>
  <c r="I17" i="1"/>
  <c r="J17" i="1" s="1"/>
  <c r="I19" i="1"/>
  <c r="J19" i="1" s="1"/>
  <c r="I21" i="1"/>
  <c r="J21" i="1" s="1"/>
  <c r="I23" i="1"/>
  <c r="J23" i="1" s="1"/>
  <c r="I25" i="1"/>
  <c r="J25" i="1" s="1"/>
  <c r="I27" i="1"/>
  <c r="J27" i="1" s="1"/>
  <c r="I29" i="1"/>
  <c r="J29" i="1" s="1"/>
  <c r="I31" i="1"/>
  <c r="J31" i="1" s="1"/>
  <c r="I33" i="1"/>
  <c r="J33" i="1" s="1"/>
  <c r="I35" i="1"/>
  <c r="J35" i="1" s="1"/>
  <c r="I37" i="1"/>
  <c r="J37" i="1" s="1"/>
  <c r="I39" i="1"/>
  <c r="J39" i="1" s="1"/>
  <c r="I41" i="1"/>
  <c r="J41" i="1" s="1"/>
  <c r="I43" i="1"/>
  <c r="J43" i="1" s="1"/>
  <c r="I45" i="1"/>
  <c r="J45" i="1" s="1"/>
  <c r="I47" i="1"/>
  <c r="J47" i="1" s="1"/>
  <c r="I49" i="1"/>
  <c r="J49" i="1" s="1"/>
  <c r="I51" i="1"/>
  <c r="J51" i="1" s="1"/>
  <c r="I53" i="1"/>
  <c r="J53" i="1" s="1"/>
  <c r="I55" i="1"/>
  <c r="J55" i="1" s="1"/>
  <c r="I57" i="1"/>
  <c r="J57" i="1" s="1"/>
  <c r="I59" i="1"/>
  <c r="J59" i="1" s="1"/>
  <c r="I61" i="1"/>
  <c r="J61" i="1" s="1"/>
  <c r="I63" i="1"/>
  <c r="J63" i="1" s="1"/>
  <c r="I65" i="1"/>
  <c r="J65" i="1" s="1"/>
  <c r="I67" i="1"/>
  <c r="J67" i="1" s="1"/>
  <c r="I78" i="1"/>
  <c r="J78" i="1" s="1"/>
  <c r="I85" i="1"/>
  <c r="J85" i="1" s="1"/>
  <c r="I92" i="1"/>
  <c r="J92" i="1" s="1"/>
  <c r="I99" i="1"/>
  <c r="J99" i="1" s="1"/>
  <c r="I106" i="1"/>
  <c r="J106" i="1" s="1"/>
  <c r="I113" i="1"/>
  <c r="J113" i="1" s="1"/>
  <c r="I120" i="1"/>
  <c r="J120" i="1" s="1"/>
  <c r="I127" i="1"/>
  <c r="J127" i="1" s="1"/>
  <c r="I134" i="1"/>
  <c r="J134" i="1" s="1"/>
  <c r="I141" i="1"/>
  <c r="J141" i="1" s="1"/>
  <c r="I148" i="1"/>
  <c r="J148" i="1" s="1"/>
  <c r="I155" i="1"/>
  <c r="J155" i="1" s="1"/>
  <c r="I162" i="1"/>
  <c r="J162" i="1" s="1"/>
  <c r="I169" i="1"/>
  <c r="J169" i="1" s="1"/>
  <c r="I176" i="1"/>
  <c r="J176" i="1" s="1"/>
  <c r="I183" i="1"/>
  <c r="J183" i="1" s="1"/>
  <c r="I190" i="1"/>
  <c r="J190" i="1" s="1"/>
  <c r="I197" i="1"/>
  <c r="J197" i="1" s="1"/>
  <c r="I204" i="1"/>
  <c r="J204" i="1" s="1"/>
  <c r="I211" i="1"/>
  <c r="J211" i="1" s="1"/>
  <c r="I218" i="1"/>
  <c r="J218" i="1" s="1"/>
  <c r="I225" i="1"/>
  <c r="J225" i="1" s="1"/>
  <c r="I232" i="1"/>
  <c r="J232" i="1" s="1"/>
  <c r="M7" i="1" l="1"/>
  <c r="M8" i="1" s="1"/>
  <c r="F237" i="1" l="1"/>
  <c r="G237" i="1" s="1"/>
  <c r="H237" i="1" s="1"/>
  <c r="F235" i="1"/>
  <c r="G235" i="1" s="1"/>
  <c r="H235" i="1" s="1"/>
  <c r="F233" i="1"/>
  <c r="G233" i="1" s="1"/>
  <c r="H233" i="1" s="1"/>
  <c r="F231" i="1"/>
  <c r="G231" i="1" s="1"/>
  <c r="H231" i="1" s="1"/>
  <c r="F229" i="1"/>
  <c r="G229" i="1" s="1"/>
  <c r="H229" i="1" s="1"/>
  <c r="F227" i="1"/>
  <c r="G227" i="1" s="1"/>
  <c r="H227" i="1" s="1"/>
  <c r="F225" i="1"/>
  <c r="G225" i="1" s="1"/>
  <c r="H225" i="1" s="1"/>
  <c r="F223" i="1"/>
  <c r="G223" i="1" s="1"/>
  <c r="H223" i="1" s="1"/>
  <c r="F221" i="1"/>
  <c r="G221" i="1" s="1"/>
  <c r="H221" i="1" s="1"/>
  <c r="F219" i="1"/>
  <c r="G219" i="1" s="1"/>
  <c r="H219" i="1" s="1"/>
  <c r="F217" i="1"/>
  <c r="G217" i="1" s="1"/>
  <c r="H217" i="1" s="1"/>
  <c r="F215" i="1"/>
  <c r="G215" i="1" s="1"/>
  <c r="H215" i="1" s="1"/>
  <c r="F213" i="1"/>
  <c r="G213" i="1" s="1"/>
  <c r="H213" i="1" s="1"/>
  <c r="F211" i="1"/>
  <c r="G211" i="1" s="1"/>
  <c r="H211" i="1" s="1"/>
  <c r="F209" i="1"/>
  <c r="G209" i="1" s="1"/>
  <c r="H209" i="1" s="1"/>
  <c r="F207" i="1"/>
  <c r="G207" i="1" s="1"/>
  <c r="H207" i="1" s="1"/>
  <c r="F205" i="1"/>
  <c r="G205" i="1" s="1"/>
  <c r="H205" i="1" s="1"/>
  <c r="F203" i="1"/>
  <c r="G203" i="1" s="1"/>
  <c r="H203" i="1" s="1"/>
  <c r="F201" i="1"/>
  <c r="G201" i="1" s="1"/>
  <c r="H201" i="1" s="1"/>
  <c r="F199" i="1"/>
  <c r="G199" i="1" s="1"/>
  <c r="H199" i="1" s="1"/>
  <c r="F197" i="1"/>
  <c r="G197" i="1" s="1"/>
  <c r="H197" i="1" s="1"/>
  <c r="F195" i="1"/>
  <c r="G195" i="1" s="1"/>
  <c r="H195" i="1" s="1"/>
  <c r="F193" i="1"/>
  <c r="G193" i="1" s="1"/>
  <c r="H193" i="1" s="1"/>
  <c r="F191" i="1"/>
  <c r="G191" i="1" s="1"/>
  <c r="H191" i="1" s="1"/>
  <c r="F189" i="1"/>
  <c r="G189" i="1" s="1"/>
  <c r="H189" i="1" s="1"/>
  <c r="F187" i="1"/>
  <c r="G187" i="1" s="1"/>
  <c r="H187" i="1" s="1"/>
  <c r="F185" i="1"/>
  <c r="G185" i="1" s="1"/>
  <c r="H185" i="1" s="1"/>
  <c r="F183" i="1"/>
  <c r="G183" i="1" s="1"/>
  <c r="H183" i="1" s="1"/>
  <c r="F181" i="1"/>
  <c r="G181" i="1" s="1"/>
  <c r="H181" i="1" s="1"/>
  <c r="F179" i="1"/>
  <c r="G179" i="1" s="1"/>
  <c r="H179" i="1" s="1"/>
  <c r="F177" i="1"/>
  <c r="G177" i="1" s="1"/>
  <c r="H177" i="1" s="1"/>
  <c r="F175" i="1"/>
  <c r="G175" i="1" s="1"/>
  <c r="H175" i="1" s="1"/>
  <c r="F173" i="1"/>
  <c r="G173" i="1" s="1"/>
  <c r="H173" i="1" s="1"/>
  <c r="F171" i="1"/>
  <c r="G171" i="1" s="1"/>
  <c r="H171" i="1" s="1"/>
  <c r="F169" i="1"/>
  <c r="G169" i="1" s="1"/>
  <c r="H169" i="1" s="1"/>
  <c r="F167" i="1"/>
  <c r="G167" i="1" s="1"/>
  <c r="H167" i="1" s="1"/>
  <c r="F165" i="1"/>
  <c r="G165" i="1" s="1"/>
  <c r="H165" i="1" s="1"/>
  <c r="F163" i="1"/>
  <c r="G163" i="1" s="1"/>
  <c r="H163" i="1" s="1"/>
  <c r="F161" i="1"/>
  <c r="G161" i="1" s="1"/>
  <c r="H161" i="1" s="1"/>
  <c r="F159" i="1"/>
  <c r="G159" i="1" s="1"/>
  <c r="H159" i="1" s="1"/>
  <c r="F157" i="1"/>
  <c r="G157" i="1" s="1"/>
  <c r="H157" i="1" s="1"/>
  <c r="F155" i="1"/>
  <c r="G155" i="1" s="1"/>
  <c r="H155" i="1" s="1"/>
  <c r="F153" i="1"/>
  <c r="G153" i="1" s="1"/>
  <c r="H153" i="1" s="1"/>
  <c r="F151" i="1"/>
  <c r="G151" i="1" s="1"/>
  <c r="H151" i="1" s="1"/>
  <c r="F149" i="1"/>
  <c r="G149" i="1" s="1"/>
  <c r="H149" i="1" s="1"/>
  <c r="F147" i="1"/>
  <c r="G147" i="1" s="1"/>
  <c r="H147" i="1" s="1"/>
  <c r="F145" i="1"/>
  <c r="G145" i="1" s="1"/>
  <c r="H145" i="1" s="1"/>
  <c r="F143" i="1"/>
  <c r="G143" i="1" s="1"/>
  <c r="H143" i="1" s="1"/>
  <c r="F141" i="1"/>
  <c r="G141" i="1" s="1"/>
  <c r="H141" i="1" s="1"/>
  <c r="F139" i="1"/>
  <c r="G139" i="1" s="1"/>
  <c r="H139" i="1" s="1"/>
  <c r="F137" i="1"/>
  <c r="G137" i="1" s="1"/>
  <c r="H137" i="1" s="1"/>
  <c r="F135" i="1"/>
  <c r="G135" i="1" s="1"/>
  <c r="H135" i="1" s="1"/>
  <c r="F133" i="1"/>
  <c r="G133" i="1" s="1"/>
  <c r="H133" i="1" s="1"/>
  <c r="F131" i="1"/>
  <c r="G131" i="1" s="1"/>
  <c r="H131" i="1" s="1"/>
  <c r="F129" i="1"/>
  <c r="G129" i="1" s="1"/>
  <c r="H129" i="1" s="1"/>
  <c r="F127" i="1"/>
  <c r="G127" i="1" s="1"/>
  <c r="H127" i="1" s="1"/>
  <c r="F125" i="1"/>
  <c r="G125" i="1" s="1"/>
  <c r="H125" i="1" s="1"/>
  <c r="F123" i="1"/>
  <c r="G123" i="1" s="1"/>
  <c r="H123" i="1" s="1"/>
  <c r="F121" i="1"/>
  <c r="G121" i="1" s="1"/>
  <c r="H121" i="1" s="1"/>
  <c r="F119" i="1"/>
  <c r="G119" i="1" s="1"/>
  <c r="H119" i="1" s="1"/>
  <c r="F117" i="1"/>
  <c r="G117" i="1" s="1"/>
  <c r="H117" i="1" s="1"/>
  <c r="F115" i="1"/>
  <c r="G115" i="1" s="1"/>
  <c r="H115" i="1" s="1"/>
  <c r="F113" i="1"/>
  <c r="G113" i="1" s="1"/>
  <c r="H113" i="1" s="1"/>
  <c r="F111" i="1"/>
  <c r="G111" i="1" s="1"/>
  <c r="H111" i="1" s="1"/>
  <c r="F109" i="1"/>
  <c r="G109" i="1" s="1"/>
  <c r="H109" i="1" s="1"/>
  <c r="F107" i="1"/>
  <c r="G107" i="1" s="1"/>
  <c r="H107" i="1" s="1"/>
  <c r="F105" i="1"/>
  <c r="G105" i="1" s="1"/>
  <c r="H105" i="1" s="1"/>
  <c r="F103" i="1"/>
  <c r="G103" i="1" s="1"/>
  <c r="H103" i="1" s="1"/>
  <c r="F101" i="1"/>
  <c r="G101" i="1" s="1"/>
  <c r="H101" i="1" s="1"/>
  <c r="F99" i="1"/>
  <c r="G99" i="1" s="1"/>
  <c r="H99" i="1" s="1"/>
  <c r="F97" i="1"/>
  <c r="G97" i="1" s="1"/>
  <c r="H97" i="1" s="1"/>
  <c r="F95" i="1"/>
  <c r="G95" i="1" s="1"/>
  <c r="H95" i="1" s="1"/>
  <c r="F93" i="1"/>
  <c r="G93" i="1" s="1"/>
  <c r="H93" i="1" s="1"/>
  <c r="F91" i="1"/>
  <c r="G91" i="1" s="1"/>
  <c r="H91" i="1" s="1"/>
  <c r="F89" i="1"/>
  <c r="G89" i="1" s="1"/>
  <c r="H89" i="1" s="1"/>
  <c r="F87" i="1"/>
  <c r="G87" i="1" s="1"/>
  <c r="H87" i="1" s="1"/>
  <c r="F85" i="1"/>
  <c r="G85" i="1" s="1"/>
  <c r="H85" i="1" s="1"/>
  <c r="F83" i="1"/>
  <c r="G83" i="1" s="1"/>
  <c r="H83" i="1" s="1"/>
  <c r="F81" i="1"/>
  <c r="G81" i="1" s="1"/>
  <c r="H81" i="1" s="1"/>
  <c r="F79" i="1"/>
  <c r="G79" i="1" s="1"/>
  <c r="H79" i="1" s="1"/>
  <c r="F77" i="1"/>
  <c r="G77" i="1" s="1"/>
  <c r="H77" i="1" s="1"/>
  <c r="F75" i="1"/>
  <c r="G75" i="1" s="1"/>
  <c r="H75" i="1" s="1"/>
  <c r="F73" i="1"/>
  <c r="G73" i="1" s="1"/>
  <c r="H73" i="1" s="1"/>
  <c r="F71" i="1"/>
  <c r="G71" i="1" s="1"/>
  <c r="H71" i="1" s="1"/>
  <c r="F69" i="1"/>
  <c r="G69" i="1" s="1"/>
  <c r="H69" i="1" s="1"/>
  <c r="F6" i="1"/>
  <c r="G6" i="1" s="1"/>
  <c r="H6" i="1" s="1"/>
  <c r="F230" i="1"/>
  <c r="G230" i="1" s="1"/>
  <c r="H230" i="1" s="1"/>
  <c r="F216" i="1"/>
  <c r="G216" i="1" s="1"/>
  <c r="H216" i="1" s="1"/>
  <c r="F202" i="1"/>
  <c r="G202" i="1" s="1"/>
  <c r="H202" i="1" s="1"/>
  <c r="F188" i="1"/>
  <c r="G188" i="1" s="1"/>
  <c r="H188" i="1" s="1"/>
  <c r="F174" i="1"/>
  <c r="G174" i="1" s="1"/>
  <c r="H174" i="1" s="1"/>
  <c r="F160" i="1"/>
  <c r="G160" i="1" s="1"/>
  <c r="H160" i="1" s="1"/>
  <c r="F146" i="1"/>
  <c r="G146" i="1" s="1"/>
  <c r="H146" i="1" s="1"/>
  <c r="F132" i="1"/>
  <c r="G132" i="1" s="1"/>
  <c r="H132" i="1" s="1"/>
  <c r="F118" i="1"/>
  <c r="G118" i="1" s="1"/>
  <c r="H118" i="1" s="1"/>
  <c r="F104" i="1"/>
  <c r="G104" i="1" s="1"/>
  <c r="H104" i="1" s="1"/>
  <c r="F90" i="1"/>
  <c r="G90" i="1" s="1"/>
  <c r="H90" i="1" s="1"/>
  <c r="F76" i="1"/>
  <c r="G76" i="1" s="1"/>
  <c r="H76" i="1" s="1"/>
  <c r="F4" i="1"/>
  <c r="G4" i="1" s="1"/>
  <c r="H4" i="1" s="1"/>
  <c r="F9" i="1"/>
  <c r="G9" i="1" s="1"/>
  <c r="H9" i="1" s="1"/>
  <c r="F2" i="1"/>
  <c r="G2" i="1" s="1"/>
  <c r="H2" i="1" s="1"/>
  <c r="F234" i="1"/>
  <c r="G234" i="1" s="1"/>
  <c r="H234" i="1" s="1"/>
  <c r="F220" i="1"/>
  <c r="G220" i="1" s="1"/>
  <c r="H220" i="1" s="1"/>
  <c r="F206" i="1"/>
  <c r="G206" i="1" s="1"/>
  <c r="H206" i="1" s="1"/>
  <c r="F192" i="1"/>
  <c r="G192" i="1" s="1"/>
  <c r="H192" i="1" s="1"/>
  <c r="F178" i="1"/>
  <c r="G178" i="1" s="1"/>
  <c r="H178" i="1" s="1"/>
  <c r="F164" i="1"/>
  <c r="G164" i="1" s="1"/>
  <c r="H164" i="1" s="1"/>
  <c r="F150" i="1"/>
  <c r="G150" i="1" s="1"/>
  <c r="H150" i="1" s="1"/>
  <c r="F136" i="1"/>
  <c r="G136" i="1" s="1"/>
  <c r="H136" i="1" s="1"/>
  <c r="F122" i="1"/>
  <c r="G122" i="1" s="1"/>
  <c r="H122" i="1" s="1"/>
  <c r="F108" i="1"/>
  <c r="G108" i="1" s="1"/>
  <c r="H108" i="1" s="1"/>
  <c r="F94" i="1"/>
  <c r="G94" i="1" s="1"/>
  <c r="H94" i="1" s="1"/>
  <c r="F80" i="1"/>
  <c r="G80" i="1" s="1"/>
  <c r="H80" i="1" s="1"/>
  <c r="F224" i="1"/>
  <c r="G224" i="1" s="1"/>
  <c r="H224" i="1" s="1"/>
  <c r="F210" i="1"/>
  <c r="G210" i="1" s="1"/>
  <c r="H210" i="1" s="1"/>
  <c r="F196" i="1"/>
  <c r="G196" i="1" s="1"/>
  <c r="H196" i="1" s="1"/>
  <c r="F182" i="1"/>
  <c r="G182" i="1" s="1"/>
  <c r="H182" i="1" s="1"/>
  <c r="F168" i="1"/>
  <c r="G168" i="1" s="1"/>
  <c r="H168" i="1" s="1"/>
  <c r="F154" i="1"/>
  <c r="G154" i="1" s="1"/>
  <c r="H154" i="1" s="1"/>
  <c r="F140" i="1"/>
  <c r="G140" i="1" s="1"/>
  <c r="H140" i="1" s="1"/>
  <c r="F126" i="1"/>
  <c r="G126" i="1" s="1"/>
  <c r="H126" i="1" s="1"/>
  <c r="F112" i="1"/>
  <c r="G112" i="1" s="1"/>
  <c r="H112" i="1" s="1"/>
  <c r="F98" i="1"/>
  <c r="G98" i="1" s="1"/>
  <c r="H98" i="1" s="1"/>
  <c r="F84" i="1"/>
  <c r="G84" i="1" s="1"/>
  <c r="H84" i="1" s="1"/>
  <c r="F226" i="1"/>
  <c r="G226" i="1" s="1"/>
  <c r="H226" i="1" s="1"/>
  <c r="F222" i="1"/>
  <c r="G222" i="1" s="1"/>
  <c r="H222" i="1" s="1"/>
  <c r="F208" i="1"/>
  <c r="G208" i="1" s="1"/>
  <c r="H208" i="1" s="1"/>
  <c r="F194" i="1"/>
  <c r="G194" i="1" s="1"/>
  <c r="H194" i="1" s="1"/>
  <c r="F180" i="1"/>
  <c r="G180" i="1" s="1"/>
  <c r="H180" i="1" s="1"/>
  <c r="F166" i="1"/>
  <c r="G166" i="1" s="1"/>
  <c r="H166" i="1" s="1"/>
  <c r="F152" i="1"/>
  <c r="G152" i="1" s="1"/>
  <c r="H152" i="1" s="1"/>
  <c r="F138" i="1"/>
  <c r="G138" i="1" s="1"/>
  <c r="H138" i="1" s="1"/>
  <c r="F124" i="1"/>
  <c r="G124" i="1" s="1"/>
  <c r="H124" i="1" s="1"/>
  <c r="F114" i="1"/>
  <c r="G114" i="1" s="1"/>
  <c r="H114" i="1" s="1"/>
  <c r="F60" i="1"/>
  <c r="G60" i="1" s="1"/>
  <c r="H60" i="1" s="1"/>
  <c r="F57" i="1"/>
  <c r="G57" i="1" s="1"/>
  <c r="H57" i="1" s="1"/>
  <c r="F46" i="1"/>
  <c r="G46" i="1" s="1"/>
  <c r="H46" i="1" s="1"/>
  <c r="F43" i="1"/>
  <c r="G43" i="1" s="1"/>
  <c r="H43" i="1" s="1"/>
  <c r="F32" i="1"/>
  <c r="G32" i="1" s="1"/>
  <c r="H32" i="1" s="1"/>
  <c r="F29" i="1"/>
  <c r="G29" i="1" s="1"/>
  <c r="H29" i="1" s="1"/>
  <c r="F18" i="1"/>
  <c r="G18" i="1" s="1"/>
  <c r="H18" i="1" s="1"/>
  <c r="F15" i="1"/>
  <c r="G15" i="1" s="1"/>
  <c r="H15" i="1" s="1"/>
  <c r="F218" i="1"/>
  <c r="G218" i="1" s="1"/>
  <c r="H218" i="1" s="1"/>
  <c r="F204" i="1"/>
  <c r="G204" i="1" s="1"/>
  <c r="H204" i="1" s="1"/>
  <c r="F190" i="1"/>
  <c r="G190" i="1" s="1"/>
  <c r="H190" i="1" s="1"/>
  <c r="F176" i="1"/>
  <c r="G176" i="1" s="1"/>
  <c r="H176" i="1" s="1"/>
  <c r="F162" i="1"/>
  <c r="G162" i="1" s="1"/>
  <c r="H162" i="1" s="1"/>
  <c r="F148" i="1"/>
  <c r="G148" i="1" s="1"/>
  <c r="H148" i="1" s="1"/>
  <c r="F134" i="1"/>
  <c r="G134" i="1" s="1"/>
  <c r="H134" i="1" s="1"/>
  <c r="F120" i="1"/>
  <c r="G120" i="1" s="1"/>
  <c r="H120" i="1" s="1"/>
  <c r="F110" i="1"/>
  <c r="G110" i="1" s="1"/>
  <c r="H110" i="1" s="1"/>
  <c r="F68" i="1"/>
  <c r="G68" i="1" s="1"/>
  <c r="H68" i="1" s="1"/>
  <c r="F65" i="1"/>
  <c r="G65" i="1" s="1"/>
  <c r="H65" i="1" s="1"/>
  <c r="F54" i="1"/>
  <c r="G54" i="1" s="1"/>
  <c r="H54" i="1" s="1"/>
  <c r="F51" i="1"/>
  <c r="G51" i="1" s="1"/>
  <c r="H51" i="1" s="1"/>
  <c r="F40" i="1"/>
  <c r="G40" i="1" s="1"/>
  <c r="H40" i="1" s="1"/>
  <c r="F37" i="1"/>
  <c r="G37" i="1" s="1"/>
  <c r="H37" i="1" s="1"/>
  <c r="F26" i="1"/>
  <c r="G26" i="1" s="1"/>
  <c r="H26" i="1" s="1"/>
  <c r="F23" i="1"/>
  <c r="G23" i="1" s="1"/>
  <c r="H23" i="1" s="1"/>
  <c r="F12" i="1"/>
  <c r="G12" i="1" s="1"/>
  <c r="H12" i="1" s="1"/>
  <c r="F236" i="1"/>
  <c r="G236" i="1" s="1"/>
  <c r="H236" i="1" s="1"/>
  <c r="F232" i="1"/>
  <c r="G232" i="1" s="1"/>
  <c r="H232" i="1" s="1"/>
  <c r="F74" i="1"/>
  <c r="G74" i="1" s="1"/>
  <c r="H74" i="1" s="1"/>
  <c r="F116" i="1"/>
  <c r="G116" i="1" s="1"/>
  <c r="H116" i="1" s="1"/>
  <c r="F53" i="1"/>
  <c r="G53" i="1" s="1"/>
  <c r="H53" i="1" s="1"/>
  <c r="F39" i="1"/>
  <c r="G39" i="1" s="1"/>
  <c r="H39" i="1" s="1"/>
  <c r="F25" i="1"/>
  <c r="G25" i="1" s="1"/>
  <c r="H25" i="1" s="1"/>
  <c r="F106" i="1"/>
  <c r="G106" i="1" s="1"/>
  <c r="H106" i="1" s="1"/>
  <c r="F100" i="1"/>
  <c r="G100" i="1" s="1"/>
  <c r="H100" i="1" s="1"/>
  <c r="F62" i="1"/>
  <c r="G62" i="1" s="1"/>
  <c r="H62" i="1" s="1"/>
  <c r="F59" i="1"/>
  <c r="G59" i="1" s="1"/>
  <c r="H59" i="1" s="1"/>
  <c r="F48" i="1"/>
  <c r="G48" i="1" s="1"/>
  <c r="H48" i="1" s="1"/>
  <c r="F45" i="1"/>
  <c r="G45" i="1" s="1"/>
  <c r="H45" i="1" s="1"/>
  <c r="F34" i="1"/>
  <c r="G34" i="1" s="1"/>
  <c r="H34" i="1" s="1"/>
  <c r="F31" i="1"/>
  <c r="G31" i="1" s="1"/>
  <c r="H31" i="1" s="1"/>
  <c r="F20" i="1"/>
  <c r="G20" i="1" s="1"/>
  <c r="H20" i="1" s="1"/>
  <c r="F17" i="1"/>
  <c r="G17" i="1" s="1"/>
  <c r="H17" i="1" s="1"/>
  <c r="F214" i="1"/>
  <c r="G214" i="1" s="1"/>
  <c r="H214" i="1" s="1"/>
  <c r="F200" i="1"/>
  <c r="G200" i="1" s="1"/>
  <c r="H200" i="1" s="1"/>
  <c r="F186" i="1"/>
  <c r="G186" i="1" s="1"/>
  <c r="H186" i="1" s="1"/>
  <c r="F172" i="1"/>
  <c r="G172" i="1" s="1"/>
  <c r="H172" i="1" s="1"/>
  <c r="F158" i="1"/>
  <c r="G158" i="1" s="1"/>
  <c r="H158" i="1" s="1"/>
  <c r="F144" i="1"/>
  <c r="G144" i="1" s="1"/>
  <c r="H144" i="1" s="1"/>
  <c r="F130" i="1"/>
  <c r="G130" i="1" s="1"/>
  <c r="H130" i="1" s="1"/>
  <c r="F96" i="1"/>
  <c r="G96" i="1" s="1"/>
  <c r="H96" i="1" s="1"/>
  <c r="F67" i="1"/>
  <c r="G67" i="1" s="1"/>
  <c r="H67" i="1" s="1"/>
  <c r="F56" i="1"/>
  <c r="G56" i="1" s="1"/>
  <c r="H56" i="1" s="1"/>
  <c r="F42" i="1"/>
  <c r="G42" i="1" s="1"/>
  <c r="H42" i="1" s="1"/>
  <c r="F28" i="1"/>
  <c r="G28" i="1" s="1"/>
  <c r="H28" i="1" s="1"/>
  <c r="F92" i="1"/>
  <c r="G92" i="1" s="1"/>
  <c r="H92" i="1" s="1"/>
  <c r="F86" i="1"/>
  <c r="G86" i="1" s="1"/>
  <c r="H86" i="1" s="1"/>
  <c r="F64" i="1"/>
  <c r="G64" i="1" s="1"/>
  <c r="H64" i="1" s="1"/>
  <c r="F61" i="1"/>
  <c r="G61" i="1" s="1"/>
  <c r="H61" i="1" s="1"/>
  <c r="F50" i="1"/>
  <c r="G50" i="1" s="1"/>
  <c r="H50" i="1" s="1"/>
  <c r="F47" i="1"/>
  <c r="G47" i="1" s="1"/>
  <c r="H47" i="1" s="1"/>
  <c r="F36" i="1"/>
  <c r="G36" i="1" s="1"/>
  <c r="H36" i="1" s="1"/>
  <c r="F33" i="1"/>
  <c r="G33" i="1" s="1"/>
  <c r="H33" i="1" s="1"/>
  <c r="F22" i="1"/>
  <c r="G22" i="1" s="1"/>
  <c r="H22" i="1" s="1"/>
  <c r="F19" i="1"/>
  <c r="G19" i="1" s="1"/>
  <c r="H19" i="1" s="1"/>
  <c r="F102" i="1"/>
  <c r="G102" i="1" s="1"/>
  <c r="H102" i="1" s="1"/>
  <c r="F8" i="1"/>
  <c r="G8" i="1" s="1"/>
  <c r="H8" i="1" s="1"/>
  <c r="F3" i="1"/>
  <c r="G3" i="1" s="1"/>
  <c r="H3" i="1" s="1"/>
  <c r="F82" i="1"/>
  <c r="G82" i="1" s="1"/>
  <c r="H82" i="1" s="1"/>
  <c r="F198" i="1"/>
  <c r="G198" i="1" s="1"/>
  <c r="H198" i="1" s="1"/>
  <c r="F44" i="1"/>
  <c r="G44" i="1" s="1"/>
  <c r="H44" i="1" s="1"/>
  <c r="F5" i="1"/>
  <c r="G5" i="1" s="1"/>
  <c r="H5" i="1" s="1"/>
  <c r="F63" i="1"/>
  <c r="G63" i="1" s="1"/>
  <c r="H63" i="1" s="1"/>
  <c r="F24" i="1"/>
  <c r="G24" i="1" s="1"/>
  <c r="H24" i="1" s="1"/>
  <c r="F27" i="1"/>
  <c r="G27" i="1" s="1"/>
  <c r="H27" i="1" s="1"/>
  <c r="F70" i="1"/>
  <c r="G70" i="1" s="1"/>
  <c r="H70" i="1" s="1"/>
  <c r="F66" i="1"/>
  <c r="G66" i="1" s="1"/>
  <c r="H66" i="1" s="1"/>
  <c r="F58" i="1"/>
  <c r="G58" i="1" s="1"/>
  <c r="H58" i="1" s="1"/>
  <c r="F11" i="1"/>
  <c r="G11" i="1" s="1"/>
  <c r="H11" i="1" s="1"/>
  <c r="F88" i="1"/>
  <c r="G88" i="1" s="1"/>
  <c r="H88" i="1" s="1"/>
  <c r="F78" i="1"/>
  <c r="G78" i="1" s="1"/>
  <c r="H78" i="1" s="1"/>
  <c r="F38" i="1"/>
  <c r="G38" i="1" s="1"/>
  <c r="H38" i="1" s="1"/>
  <c r="F7" i="1"/>
  <c r="G7" i="1" s="1"/>
  <c r="H7" i="1" s="1"/>
  <c r="F170" i="1"/>
  <c r="G170" i="1" s="1"/>
  <c r="H170" i="1" s="1"/>
  <c r="F30" i="1"/>
  <c r="G30" i="1" s="1"/>
  <c r="H30" i="1" s="1"/>
  <c r="F128" i="1"/>
  <c r="G128" i="1" s="1"/>
  <c r="H128" i="1" s="1"/>
  <c r="F49" i="1"/>
  <c r="G49" i="1" s="1"/>
  <c r="H49" i="1" s="1"/>
  <c r="F142" i="1"/>
  <c r="G142" i="1" s="1"/>
  <c r="H142" i="1" s="1"/>
  <c r="F41" i="1"/>
  <c r="G41" i="1" s="1"/>
  <c r="H41" i="1" s="1"/>
  <c r="F14" i="1"/>
  <c r="G14" i="1" s="1"/>
  <c r="H14" i="1" s="1"/>
  <c r="F228" i="1"/>
  <c r="G228" i="1" s="1"/>
  <c r="H228" i="1" s="1"/>
  <c r="F156" i="1"/>
  <c r="G156" i="1" s="1"/>
  <c r="H156" i="1" s="1"/>
  <c r="F21" i="1"/>
  <c r="G21" i="1" s="1"/>
  <c r="H21" i="1" s="1"/>
  <c r="F10" i="1"/>
  <c r="G10" i="1" s="1"/>
  <c r="H10" i="1" s="1"/>
  <c r="F184" i="1"/>
  <c r="G184" i="1" s="1"/>
  <c r="H184" i="1" s="1"/>
  <c r="F72" i="1"/>
  <c r="G72" i="1" s="1"/>
  <c r="H72" i="1" s="1"/>
  <c r="F52" i="1"/>
  <c r="G52" i="1" s="1"/>
  <c r="H52" i="1" s="1"/>
  <c r="F13" i="1"/>
  <c r="G13" i="1" s="1"/>
  <c r="H13" i="1" s="1"/>
  <c r="F212" i="1"/>
  <c r="G212" i="1" s="1"/>
  <c r="H212" i="1" s="1"/>
  <c r="F55" i="1"/>
  <c r="G55" i="1" s="1"/>
  <c r="H55" i="1" s="1"/>
  <c r="F16" i="1"/>
  <c r="G16" i="1" s="1"/>
  <c r="H16" i="1" s="1"/>
  <c r="F35" i="1"/>
  <c r="G35" i="1" s="1"/>
  <c r="H35" i="1" s="1"/>
  <c r="M9" i="1" l="1"/>
</calcChain>
</file>

<file path=xl/sharedStrings.xml><?xml version="1.0" encoding="utf-8"?>
<sst xmlns="http://schemas.openxmlformats.org/spreadsheetml/2006/main" count="17" uniqueCount="17">
  <si>
    <t>X</t>
  </si>
  <si>
    <t>Y</t>
  </si>
  <si>
    <t>X.Y</t>
  </si>
  <si>
    <t>X_squared</t>
  </si>
  <si>
    <t>y'</t>
  </si>
  <si>
    <t>y'-yi_mean</t>
  </si>
  <si>
    <t>(y'-_y_mean)_squared</t>
  </si>
  <si>
    <t>(yi-y_mean)</t>
  </si>
  <si>
    <t>(y'-y_mean)_squared</t>
  </si>
  <si>
    <t xml:space="preserve">X_mean </t>
  </si>
  <si>
    <t>Y_mean</t>
  </si>
  <si>
    <t xml:space="preserve">n = </t>
  </si>
  <si>
    <t>X_squared_sum</t>
  </si>
  <si>
    <t>X.Y_sum</t>
  </si>
  <si>
    <t>β_1</t>
  </si>
  <si>
    <t>β_0</t>
  </si>
  <si>
    <t>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</si>
</sst>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90387236135822"/>
                  <c:y val="-6.5271643036293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'SINGLE VARIABLE'!$B$2:$B$237</c:f>
              <c:numCache>
                <c:formatCode>0.000</c:formatCode>
                <c:ptCount val="236"/>
                <c:pt idx="0">
                  <c:v>27</c:v>
                </c:pt>
                <c:pt idx="1">
                  <c:v>12</c:v>
                </c:pt>
                <c:pt idx="2">
                  <c:v>29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14</c:v>
                </c:pt>
                <c:pt idx="7">
                  <c:v>27</c:v>
                </c:pt>
                <c:pt idx="8">
                  <c:v>18</c:v>
                </c:pt>
                <c:pt idx="9">
                  <c:v>24</c:v>
                </c:pt>
                <c:pt idx="10">
                  <c:v>10</c:v>
                </c:pt>
                <c:pt idx="11">
                  <c:v>19</c:v>
                </c:pt>
                <c:pt idx="12">
                  <c:v>29</c:v>
                </c:pt>
                <c:pt idx="13">
                  <c:v>16</c:v>
                </c:pt>
                <c:pt idx="14">
                  <c:v>20</c:v>
                </c:pt>
                <c:pt idx="15">
                  <c:v>11</c:v>
                </c:pt>
                <c:pt idx="16">
                  <c:v>22</c:v>
                </c:pt>
                <c:pt idx="17">
                  <c:v>12</c:v>
                </c:pt>
                <c:pt idx="18">
                  <c:v>29</c:v>
                </c:pt>
                <c:pt idx="19">
                  <c:v>30</c:v>
                </c:pt>
                <c:pt idx="20">
                  <c:v>29</c:v>
                </c:pt>
                <c:pt idx="21">
                  <c:v>29</c:v>
                </c:pt>
                <c:pt idx="22">
                  <c:v>13</c:v>
                </c:pt>
                <c:pt idx="23">
                  <c:v>21</c:v>
                </c:pt>
                <c:pt idx="24">
                  <c:v>21</c:v>
                </c:pt>
                <c:pt idx="25">
                  <c:v>11</c:v>
                </c:pt>
                <c:pt idx="26">
                  <c:v>24</c:v>
                </c:pt>
                <c:pt idx="27">
                  <c:v>16</c:v>
                </c:pt>
                <c:pt idx="28">
                  <c:v>26</c:v>
                </c:pt>
                <c:pt idx="29">
                  <c:v>18</c:v>
                </c:pt>
                <c:pt idx="30">
                  <c:v>19</c:v>
                </c:pt>
                <c:pt idx="31">
                  <c:v>10</c:v>
                </c:pt>
                <c:pt idx="32">
                  <c:v>11</c:v>
                </c:pt>
                <c:pt idx="33">
                  <c:v>15</c:v>
                </c:pt>
                <c:pt idx="34">
                  <c:v>12</c:v>
                </c:pt>
                <c:pt idx="35">
                  <c:v>11</c:v>
                </c:pt>
                <c:pt idx="36">
                  <c:v>25</c:v>
                </c:pt>
                <c:pt idx="37">
                  <c:v>13</c:v>
                </c:pt>
                <c:pt idx="38">
                  <c:v>29</c:v>
                </c:pt>
                <c:pt idx="39">
                  <c:v>13</c:v>
                </c:pt>
                <c:pt idx="40">
                  <c:v>11</c:v>
                </c:pt>
                <c:pt idx="41">
                  <c:v>12</c:v>
                </c:pt>
                <c:pt idx="42">
                  <c:v>19</c:v>
                </c:pt>
                <c:pt idx="43">
                  <c:v>10</c:v>
                </c:pt>
                <c:pt idx="44">
                  <c:v>28</c:v>
                </c:pt>
                <c:pt idx="45">
                  <c:v>22</c:v>
                </c:pt>
                <c:pt idx="46">
                  <c:v>30</c:v>
                </c:pt>
                <c:pt idx="47">
                  <c:v>21</c:v>
                </c:pt>
                <c:pt idx="48">
                  <c:v>24</c:v>
                </c:pt>
                <c:pt idx="49">
                  <c:v>12</c:v>
                </c:pt>
                <c:pt idx="50">
                  <c:v>13</c:v>
                </c:pt>
                <c:pt idx="51">
                  <c:v>22</c:v>
                </c:pt>
                <c:pt idx="52">
                  <c:v>21</c:v>
                </c:pt>
                <c:pt idx="53">
                  <c:v>29</c:v>
                </c:pt>
                <c:pt idx="54">
                  <c:v>17</c:v>
                </c:pt>
                <c:pt idx="55">
                  <c:v>15</c:v>
                </c:pt>
                <c:pt idx="56">
                  <c:v>16</c:v>
                </c:pt>
                <c:pt idx="57">
                  <c:v>26</c:v>
                </c:pt>
                <c:pt idx="58">
                  <c:v>24</c:v>
                </c:pt>
                <c:pt idx="59">
                  <c:v>19</c:v>
                </c:pt>
                <c:pt idx="60">
                  <c:v>23</c:v>
                </c:pt>
                <c:pt idx="61">
                  <c:v>20</c:v>
                </c:pt>
                <c:pt idx="62">
                  <c:v>26</c:v>
                </c:pt>
                <c:pt idx="63">
                  <c:v>14</c:v>
                </c:pt>
                <c:pt idx="64">
                  <c:v>18</c:v>
                </c:pt>
                <c:pt idx="65">
                  <c:v>20</c:v>
                </c:pt>
                <c:pt idx="66">
                  <c:v>10</c:v>
                </c:pt>
                <c:pt idx="67">
                  <c:v>20</c:v>
                </c:pt>
                <c:pt idx="68">
                  <c:v>16</c:v>
                </c:pt>
                <c:pt idx="69">
                  <c:v>16</c:v>
                </c:pt>
                <c:pt idx="70">
                  <c:v>23</c:v>
                </c:pt>
                <c:pt idx="71">
                  <c:v>17</c:v>
                </c:pt>
                <c:pt idx="72">
                  <c:v>21</c:v>
                </c:pt>
                <c:pt idx="73">
                  <c:v>23</c:v>
                </c:pt>
                <c:pt idx="74">
                  <c:v>30</c:v>
                </c:pt>
                <c:pt idx="75">
                  <c:v>27</c:v>
                </c:pt>
                <c:pt idx="76">
                  <c:v>18</c:v>
                </c:pt>
                <c:pt idx="77">
                  <c:v>27</c:v>
                </c:pt>
                <c:pt idx="78">
                  <c:v>26</c:v>
                </c:pt>
                <c:pt idx="79">
                  <c:v>26</c:v>
                </c:pt>
                <c:pt idx="80">
                  <c:v>22</c:v>
                </c:pt>
                <c:pt idx="81">
                  <c:v>20</c:v>
                </c:pt>
                <c:pt idx="82">
                  <c:v>26</c:v>
                </c:pt>
                <c:pt idx="83">
                  <c:v>15</c:v>
                </c:pt>
                <c:pt idx="84">
                  <c:v>21</c:v>
                </c:pt>
                <c:pt idx="85">
                  <c:v>15</c:v>
                </c:pt>
                <c:pt idx="86">
                  <c:v>11</c:v>
                </c:pt>
                <c:pt idx="87">
                  <c:v>12</c:v>
                </c:pt>
                <c:pt idx="88">
                  <c:v>13</c:v>
                </c:pt>
                <c:pt idx="89">
                  <c:v>12</c:v>
                </c:pt>
                <c:pt idx="90">
                  <c:v>19</c:v>
                </c:pt>
                <c:pt idx="91">
                  <c:v>22</c:v>
                </c:pt>
                <c:pt idx="92">
                  <c:v>14</c:v>
                </c:pt>
                <c:pt idx="93">
                  <c:v>13</c:v>
                </c:pt>
                <c:pt idx="94">
                  <c:v>23</c:v>
                </c:pt>
                <c:pt idx="95">
                  <c:v>16</c:v>
                </c:pt>
                <c:pt idx="96">
                  <c:v>14</c:v>
                </c:pt>
                <c:pt idx="97">
                  <c:v>14</c:v>
                </c:pt>
                <c:pt idx="98">
                  <c:v>23</c:v>
                </c:pt>
                <c:pt idx="99">
                  <c:v>25</c:v>
                </c:pt>
                <c:pt idx="100">
                  <c:v>19</c:v>
                </c:pt>
                <c:pt idx="101">
                  <c:v>11</c:v>
                </c:pt>
                <c:pt idx="102">
                  <c:v>25</c:v>
                </c:pt>
                <c:pt idx="103">
                  <c:v>28</c:v>
                </c:pt>
                <c:pt idx="104">
                  <c:v>25</c:v>
                </c:pt>
                <c:pt idx="105">
                  <c:v>13</c:v>
                </c:pt>
                <c:pt idx="106">
                  <c:v>16</c:v>
                </c:pt>
                <c:pt idx="107">
                  <c:v>28</c:v>
                </c:pt>
                <c:pt idx="108">
                  <c:v>20</c:v>
                </c:pt>
                <c:pt idx="109">
                  <c:v>15</c:v>
                </c:pt>
                <c:pt idx="110">
                  <c:v>21</c:v>
                </c:pt>
                <c:pt idx="111">
                  <c:v>14</c:v>
                </c:pt>
                <c:pt idx="112">
                  <c:v>14</c:v>
                </c:pt>
                <c:pt idx="113">
                  <c:v>13</c:v>
                </c:pt>
                <c:pt idx="114">
                  <c:v>30</c:v>
                </c:pt>
                <c:pt idx="115">
                  <c:v>21</c:v>
                </c:pt>
                <c:pt idx="116">
                  <c:v>15</c:v>
                </c:pt>
                <c:pt idx="117">
                  <c:v>21</c:v>
                </c:pt>
                <c:pt idx="118">
                  <c:v>12</c:v>
                </c:pt>
                <c:pt idx="119">
                  <c:v>23</c:v>
                </c:pt>
                <c:pt idx="120">
                  <c:v>10</c:v>
                </c:pt>
                <c:pt idx="121">
                  <c:v>22</c:v>
                </c:pt>
                <c:pt idx="122">
                  <c:v>10</c:v>
                </c:pt>
                <c:pt idx="123">
                  <c:v>13</c:v>
                </c:pt>
                <c:pt idx="124">
                  <c:v>18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23</c:v>
                </c:pt>
                <c:pt idx="129">
                  <c:v>18</c:v>
                </c:pt>
                <c:pt idx="130">
                  <c:v>19</c:v>
                </c:pt>
                <c:pt idx="131">
                  <c:v>26</c:v>
                </c:pt>
                <c:pt idx="132">
                  <c:v>13</c:v>
                </c:pt>
                <c:pt idx="133">
                  <c:v>24</c:v>
                </c:pt>
                <c:pt idx="134">
                  <c:v>15</c:v>
                </c:pt>
                <c:pt idx="135">
                  <c:v>19</c:v>
                </c:pt>
                <c:pt idx="136">
                  <c:v>22</c:v>
                </c:pt>
                <c:pt idx="137">
                  <c:v>15</c:v>
                </c:pt>
                <c:pt idx="138">
                  <c:v>20</c:v>
                </c:pt>
                <c:pt idx="139">
                  <c:v>25</c:v>
                </c:pt>
                <c:pt idx="140">
                  <c:v>26</c:v>
                </c:pt>
                <c:pt idx="141">
                  <c:v>26</c:v>
                </c:pt>
                <c:pt idx="142">
                  <c:v>30</c:v>
                </c:pt>
                <c:pt idx="143">
                  <c:v>18</c:v>
                </c:pt>
                <c:pt idx="144">
                  <c:v>10</c:v>
                </c:pt>
                <c:pt idx="145">
                  <c:v>15</c:v>
                </c:pt>
                <c:pt idx="146">
                  <c:v>22</c:v>
                </c:pt>
                <c:pt idx="147">
                  <c:v>24</c:v>
                </c:pt>
                <c:pt idx="148">
                  <c:v>12</c:v>
                </c:pt>
                <c:pt idx="149">
                  <c:v>15</c:v>
                </c:pt>
                <c:pt idx="150">
                  <c:v>19</c:v>
                </c:pt>
                <c:pt idx="151">
                  <c:v>19</c:v>
                </c:pt>
                <c:pt idx="152">
                  <c:v>16</c:v>
                </c:pt>
                <c:pt idx="153">
                  <c:v>13</c:v>
                </c:pt>
                <c:pt idx="154">
                  <c:v>18</c:v>
                </c:pt>
                <c:pt idx="155">
                  <c:v>27</c:v>
                </c:pt>
                <c:pt idx="156">
                  <c:v>18</c:v>
                </c:pt>
                <c:pt idx="157">
                  <c:v>25</c:v>
                </c:pt>
                <c:pt idx="158">
                  <c:v>16</c:v>
                </c:pt>
                <c:pt idx="159">
                  <c:v>23</c:v>
                </c:pt>
                <c:pt idx="160">
                  <c:v>24</c:v>
                </c:pt>
                <c:pt idx="161">
                  <c:v>20</c:v>
                </c:pt>
                <c:pt idx="162">
                  <c:v>17</c:v>
                </c:pt>
                <c:pt idx="163">
                  <c:v>15</c:v>
                </c:pt>
                <c:pt idx="164">
                  <c:v>17</c:v>
                </c:pt>
                <c:pt idx="165">
                  <c:v>23</c:v>
                </c:pt>
                <c:pt idx="166">
                  <c:v>19</c:v>
                </c:pt>
                <c:pt idx="167">
                  <c:v>25</c:v>
                </c:pt>
                <c:pt idx="168">
                  <c:v>26</c:v>
                </c:pt>
                <c:pt idx="169">
                  <c:v>12</c:v>
                </c:pt>
                <c:pt idx="170">
                  <c:v>19</c:v>
                </c:pt>
                <c:pt idx="171">
                  <c:v>21</c:v>
                </c:pt>
                <c:pt idx="172">
                  <c:v>29</c:v>
                </c:pt>
                <c:pt idx="173">
                  <c:v>14</c:v>
                </c:pt>
                <c:pt idx="174">
                  <c:v>15</c:v>
                </c:pt>
                <c:pt idx="175">
                  <c:v>26</c:v>
                </c:pt>
                <c:pt idx="176">
                  <c:v>17</c:v>
                </c:pt>
                <c:pt idx="177">
                  <c:v>19</c:v>
                </c:pt>
                <c:pt idx="178">
                  <c:v>19</c:v>
                </c:pt>
                <c:pt idx="179">
                  <c:v>14</c:v>
                </c:pt>
                <c:pt idx="180">
                  <c:v>12</c:v>
                </c:pt>
                <c:pt idx="181">
                  <c:v>24</c:v>
                </c:pt>
                <c:pt idx="182">
                  <c:v>10</c:v>
                </c:pt>
                <c:pt idx="183">
                  <c:v>18</c:v>
                </c:pt>
                <c:pt idx="184">
                  <c:v>28</c:v>
                </c:pt>
                <c:pt idx="185">
                  <c:v>11</c:v>
                </c:pt>
                <c:pt idx="186">
                  <c:v>27</c:v>
                </c:pt>
                <c:pt idx="187">
                  <c:v>17</c:v>
                </c:pt>
                <c:pt idx="188">
                  <c:v>18</c:v>
                </c:pt>
                <c:pt idx="189">
                  <c:v>14</c:v>
                </c:pt>
                <c:pt idx="190">
                  <c:v>24</c:v>
                </c:pt>
                <c:pt idx="191">
                  <c:v>28</c:v>
                </c:pt>
                <c:pt idx="192">
                  <c:v>17</c:v>
                </c:pt>
                <c:pt idx="193">
                  <c:v>18</c:v>
                </c:pt>
                <c:pt idx="194">
                  <c:v>27</c:v>
                </c:pt>
                <c:pt idx="195">
                  <c:v>28</c:v>
                </c:pt>
                <c:pt idx="196">
                  <c:v>26</c:v>
                </c:pt>
                <c:pt idx="197">
                  <c:v>19</c:v>
                </c:pt>
                <c:pt idx="198">
                  <c:v>14</c:v>
                </c:pt>
                <c:pt idx="199">
                  <c:v>13</c:v>
                </c:pt>
                <c:pt idx="200">
                  <c:v>21</c:v>
                </c:pt>
                <c:pt idx="201">
                  <c:v>30</c:v>
                </c:pt>
                <c:pt idx="202">
                  <c:v>20</c:v>
                </c:pt>
                <c:pt idx="203">
                  <c:v>23</c:v>
                </c:pt>
                <c:pt idx="204">
                  <c:v>29</c:v>
                </c:pt>
                <c:pt idx="205">
                  <c:v>17</c:v>
                </c:pt>
                <c:pt idx="206">
                  <c:v>14</c:v>
                </c:pt>
                <c:pt idx="207">
                  <c:v>20</c:v>
                </c:pt>
                <c:pt idx="208">
                  <c:v>29</c:v>
                </c:pt>
                <c:pt idx="209">
                  <c:v>10</c:v>
                </c:pt>
                <c:pt idx="210">
                  <c:v>28</c:v>
                </c:pt>
                <c:pt idx="211">
                  <c:v>27</c:v>
                </c:pt>
                <c:pt idx="212">
                  <c:v>11</c:v>
                </c:pt>
                <c:pt idx="213">
                  <c:v>15</c:v>
                </c:pt>
                <c:pt idx="214">
                  <c:v>19</c:v>
                </c:pt>
                <c:pt idx="215">
                  <c:v>26</c:v>
                </c:pt>
                <c:pt idx="216">
                  <c:v>27</c:v>
                </c:pt>
                <c:pt idx="217">
                  <c:v>12</c:v>
                </c:pt>
                <c:pt idx="218">
                  <c:v>28</c:v>
                </c:pt>
                <c:pt idx="219">
                  <c:v>22</c:v>
                </c:pt>
                <c:pt idx="220">
                  <c:v>14</c:v>
                </c:pt>
                <c:pt idx="221">
                  <c:v>30</c:v>
                </c:pt>
                <c:pt idx="222">
                  <c:v>24</c:v>
                </c:pt>
                <c:pt idx="223">
                  <c:v>10</c:v>
                </c:pt>
                <c:pt idx="224">
                  <c:v>28</c:v>
                </c:pt>
                <c:pt idx="225">
                  <c:v>16</c:v>
                </c:pt>
                <c:pt idx="226">
                  <c:v>14</c:v>
                </c:pt>
                <c:pt idx="227">
                  <c:v>27</c:v>
                </c:pt>
                <c:pt idx="228">
                  <c:v>22</c:v>
                </c:pt>
                <c:pt idx="229">
                  <c:v>11</c:v>
                </c:pt>
                <c:pt idx="230">
                  <c:v>29</c:v>
                </c:pt>
                <c:pt idx="231">
                  <c:v>29</c:v>
                </c:pt>
                <c:pt idx="232">
                  <c:v>10</c:v>
                </c:pt>
                <c:pt idx="233">
                  <c:v>12</c:v>
                </c:pt>
                <c:pt idx="234">
                  <c:v>22</c:v>
                </c:pt>
                <c:pt idx="235">
                  <c:v>19</c:v>
                </c:pt>
              </c:numCache>
            </c:numRef>
          </c:xVal>
          <c:yVal>
            <c:numRef>
              <c:f>'SINGLE VARIABLE'!$C$2:$C$237</c:f>
              <c:numCache>
                <c:formatCode>0.000</c:formatCode>
                <c:ptCount val="236"/>
                <c:pt idx="0">
                  <c:v>28.646940985004829</c:v>
                </c:pt>
                <c:pt idx="1">
                  <c:v>19.943689586227819</c:v>
                </c:pt>
                <c:pt idx="2">
                  <c:v>30.047346492374604</c:v>
                </c:pt>
                <c:pt idx="3">
                  <c:v>18.543702591049041</c:v>
                </c:pt>
                <c:pt idx="4">
                  <c:v>23.324392870969799</c:v>
                </c:pt>
                <c:pt idx="5">
                  <c:v>24.165811346688795</c:v>
                </c:pt>
                <c:pt idx="6">
                  <c:v>22.267051860268992</c:v>
                </c:pt>
                <c:pt idx="7">
                  <c:v>31.563309432324068</c:v>
                </c:pt>
                <c:pt idx="8">
                  <c:v>22.83805873797499</c:v>
                </c:pt>
                <c:pt idx="9">
                  <c:v>26.428093738764886</c:v>
                </c:pt>
                <c:pt idx="10">
                  <c:v>19.067972104942701</c:v>
                </c:pt>
                <c:pt idx="11">
                  <c:v>19.625244021881024</c:v>
                </c:pt>
                <c:pt idx="12">
                  <c:v>32.296864995158288</c:v>
                </c:pt>
                <c:pt idx="13">
                  <c:v>19.709385818953251</c:v>
                </c:pt>
                <c:pt idx="14">
                  <c:v>23.777912869900639</c:v>
                </c:pt>
                <c:pt idx="15">
                  <c:v>17.321880298263988</c:v>
                </c:pt>
                <c:pt idx="16">
                  <c:v>24.790607240700037</c:v>
                </c:pt>
                <c:pt idx="17">
                  <c:v>17.100763032414868</c:v>
                </c:pt>
                <c:pt idx="18">
                  <c:v>29.784723663511372</c:v>
                </c:pt>
                <c:pt idx="19">
                  <c:v>32.596883719811728</c:v>
                </c:pt>
                <c:pt idx="20">
                  <c:v>33.301570714283145</c:v>
                </c:pt>
                <c:pt idx="21">
                  <c:v>32.412175848048697</c:v>
                </c:pt>
                <c:pt idx="22">
                  <c:v>19.507140545742423</c:v>
                </c:pt>
                <c:pt idx="23">
                  <c:v>24.975039442808967</c:v>
                </c:pt>
                <c:pt idx="24">
                  <c:v>24.836224434630527</c:v>
                </c:pt>
                <c:pt idx="25">
                  <c:v>15.280845779116644</c:v>
                </c:pt>
                <c:pt idx="26">
                  <c:v>24.762195058548347</c:v>
                </c:pt>
                <c:pt idx="27">
                  <c:v>19.368393958409953</c:v>
                </c:pt>
                <c:pt idx="28">
                  <c:v>27.725300871920279</c:v>
                </c:pt>
                <c:pt idx="29">
                  <c:v>22.800172864993719</c:v>
                </c:pt>
                <c:pt idx="30">
                  <c:v>21.180004270211825</c:v>
                </c:pt>
                <c:pt idx="31">
                  <c:v>19.075799371847751</c:v>
                </c:pt>
                <c:pt idx="32">
                  <c:v>15.155163367655865</c:v>
                </c:pt>
                <c:pt idx="33">
                  <c:v>22.178498224185361</c:v>
                </c:pt>
                <c:pt idx="34">
                  <c:v>16.087729426656107</c:v>
                </c:pt>
                <c:pt idx="35">
                  <c:v>17.684092313936844</c:v>
                </c:pt>
                <c:pt idx="36">
                  <c:v>28.363664277210439</c:v>
                </c:pt>
                <c:pt idx="37">
                  <c:v>15.157878233331834</c:v>
                </c:pt>
                <c:pt idx="38">
                  <c:v>30.257531188811789</c:v>
                </c:pt>
                <c:pt idx="39">
                  <c:v>15.248483724236186</c:v>
                </c:pt>
                <c:pt idx="40">
                  <c:v>17.280222681053868</c:v>
                </c:pt>
                <c:pt idx="41">
                  <c:v>15.214404829207131</c:v>
                </c:pt>
                <c:pt idx="42">
                  <c:v>21.212105060632901</c:v>
                </c:pt>
                <c:pt idx="43">
                  <c:v>13.873444206607338</c:v>
                </c:pt>
                <c:pt idx="44">
                  <c:v>32.656852045332258</c:v>
                </c:pt>
                <c:pt idx="45">
                  <c:v>21.839705938907588</c:v>
                </c:pt>
                <c:pt idx="46">
                  <c:v>29.216544348521904</c:v>
                </c:pt>
                <c:pt idx="47">
                  <c:v>22.932183078470295</c:v>
                </c:pt>
                <c:pt idx="48">
                  <c:v>25.850552004522797</c:v>
                </c:pt>
                <c:pt idx="49">
                  <c:v>15.142463221316323</c:v>
                </c:pt>
                <c:pt idx="50">
                  <c:v>18.948931357639083</c:v>
                </c:pt>
                <c:pt idx="51">
                  <c:v>25.095243200205918</c:v>
                </c:pt>
                <c:pt idx="52">
                  <c:v>23.167825754959313</c:v>
                </c:pt>
                <c:pt idx="53">
                  <c:v>31.899276101806468</c:v>
                </c:pt>
                <c:pt idx="54">
                  <c:v>19.330703621002566</c:v>
                </c:pt>
                <c:pt idx="55">
                  <c:v>22.051001019272924</c:v>
                </c:pt>
                <c:pt idx="56">
                  <c:v>20.183802995848605</c:v>
                </c:pt>
                <c:pt idx="57">
                  <c:v>24.919472488835311</c:v>
                </c:pt>
                <c:pt idx="58">
                  <c:v>27.289866654098898</c:v>
                </c:pt>
                <c:pt idx="59">
                  <c:v>25.383226067158599</c:v>
                </c:pt>
                <c:pt idx="60">
                  <c:v>22.883012719007031</c:v>
                </c:pt>
                <c:pt idx="61">
                  <c:v>22.557968838562353</c:v>
                </c:pt>
                <c:pt idx="62">
                  <c:v>30.04809883072085</c:v>
                </c:pt>
                <c:pt idx="63">
                  <c:v>20.660444699653603</c:v>
                </c:pt>
                <c:pt idx="64">
                  <c:v>25.486084276678664</c:v>
                </c:pt>
                <c:pt idx="65">
                  <c:v>26.657069452193983</c:v>
                </c:pt>
                <c:pt idx="66">
                  <c:v>19.313177758276019</c:v>
                </c:pt>
                <c:pt idx="67">
                  <c:v>26.906666663525399</c:v>
                </c:pt>
                <c:pt idx="68">
                  <c:v>22.813668606071182</c:v>
                </c:pt>
                <c:pt idx="69">
                  <c:v>19.117137296560752</c:v>
                </c:pt>
                <c:pt idx="70">
                  <c:v>28.461931742047902</c:v>
                </c:pt>
                <c:pt idx="71">
                  <c:v>24.666036172840506</c:v>
                </c:pt>
                <c:pt idx="72">
                  <c:v>21.676137989743481</c:v>
                </c:pt>
                <c:pt idx="73">
                  <c:v>23.184885144735897</c:v>
                </c:pt>
                <c:pt idx="74">
                  <c:v>32.265780026398104</c:v>
                </c:pt>
                <c:pt idx="75">
                  <c:v>31.493723447641976</c:v>
                </c:pt>
                <c:pt idx="76">
                  <c:v>23.100977086514572</c:v>
                </c:pt>
                <c:pt idx="77">
                  <c:v>30.219317203285296</c:v>
                </c:pt>
                <c:pt idx="78">
                  <c:v>26.954981490778291</c:v>
                </c:pt>
                <c:pt idx="79">
                  <c:v>28.562375056775796</c:v>
                </c:pt>
                <c:pt idx="80">
                  <c:v>24.059514997698681</c:v>
                </c:pt>
                <c:pt idx="81">
                  <c:v>24.610269870221149</c:v>
                </c:pt>
                <c:pt idx="82">
                  <c:v>28.147492765051236</c:v>
                </c:pt>
                <c:pt idx="83">
                  <c:v>18.475781538967148</c:v>
                </c:pt>
                <c:pt idx="84">
                  <c:v>22.761312500340857</c:v>
                </c:pt>
                <c:pt idx="85">
                  <c:v>21.605357331509374</c:v>
                </c:pt>
                <c:pt idx="86">
                  <c:v>16.449904931017052</c:v>
                </c:pt>
                <c:pt idx="87">
                  <c:v>20.104038273538244</c:v>
                </c:pt>
                <c:pt idx="88">
                  <c:v>17.634559911075918</c:v>
                </c:pt>
                <c:pt idx="89">
                  <c:v>19.619920773049991</c:v>
                </c:pt>
                <c:pt idx="90">
                  <c:v>23.193941307257781</c:v>
                </c:pt>
                <c:pt idx="91">
                  <c:v>27.155286683931891</c:v>
                </c:pt>
                <c:pt idx="92">
                  <c:v>21.912104090420307</c:v>
                </c:pt>
                <c:pt idx="93">
                  <c:v>20.439140047687445</c:v>
                </c:pt>
                <c:pt idx="94">
                  <c:v>22.759442672081004</c:v>
                </c:pt>
                <c:pt idx="95">
                  <c:v>17.423043165451688</c:v>
                </c:pt>
                <c:pt idx="96">
                  <c:v>18.670531307393322</c:v>
                </c:pt>
                <c:pt idx="97">
                  <c:v>15.788140552613948</c:v>
                </c:pt>
                <c:pt idx="98">
                  <c:v>24.946603084523005</c:v>
                </c:pt>
                <c:pt idx="99">
                  <c:v>24.5853121052821</c:v>
                </c:pt>
                <c:pt idx="100">
                  <c:v>25.237189636419735</c:v>
                </c:pt>
                <c:pt idx="101">
                  <c:v>18.363534759590188</c:v>
                </c:pt>
                <c:pt idx="102">
                  <c:v>29.366820969025738</c:v>
                </c:pt>
                <c:pt idx="103">
                  <c:v>26.569087262746898</c:v>
                </c:pt>
                <c:pt idx="104">
                  <c:v>30.251404058671447</c:v>
                </c:pt>
                <c:pt idx="105">
                  <c:v>15.079757856770353</c:v>
                </c:pt>
                <c:pt idx="106">
                  <c:v>18.986875348640812</c:v>
                </c:pt>
                <c:pt idx="107">
                  <c:v>27.286242297675091</c:v>
                </c:pt>
                <c:pt idx="108">
                  <c:v>26.30671267264961</c:v>
                </c:pt>
                <c:pt idx="109">
                  <c:v>17.855667164743526</c:v>
                </c:pt>
                <c:pt idx="110">
                  <c:v>24.982419641797105</c:v>
                </c:pt>
                <c:pt idx="111">
                  <c:v>16.497330950837771</c:v>
                </c:pt>
                <c:pt idx="112">
                  <c:v>20.63097080474915</c:v>
                </c:pt>
                <c:pt idx="113">
                  <c:v>18.527164413343698</c:v>
                </c:pt>
                <c:pt idx="114">
                  <c:v>29.676035982075696</c:v>
                </c:pt>
                <c:pt idx="115">
                  <c:v>25.723639819905046</c:v>
                </c:pt>
                <c:pt idx="116">
                  <c:v>21.543733751178348</c:v>
                </c:pt>
                <c:pt idx="117">
                  <c:v>27.589250723839356</c:v>
                </c:pt>
                <c:pt idx="118">
                  <c:v>15.934357184739998</c:v>
                </c:pt>
                <c:pt idx="119">
                  <c:v>22.693235872730195</c:v>
                </c:pt>
                <c:pt idx="120">
                  <c:v>14.282976156064064</c:v>
                </c:pt>
                <c:pt idx="121">
                  <c:v>22.500079596832641</c:v>
                </c:pt>
                <c:pt idx="122">
                  <c:v>19.25839170857034</c:v>
                </c:pt>
                <c:pt idx="123">
                  <c:v>15.133582810510934</c:v>
                </c:pt>
                <c:pt idx="124">
                  <c:v>24.273396065094623</c:v>
                </c:pt>
                <c:pt idx="125">
                  <c:v>18.711346147467086</c:v>
                </c:pt>
                <c:pt idx="126">
                  <c:v>15.771732589649579</c:v>
                </c:pt>
                <c:pt idx="127">
                  <c:v>18.313837327067109</c:v>
                </c:pt>
                <c:pt idx="128">
                  <c:v>24.048388786605368</c:v>
                </c:pt>
                <c:pt idx="129">
                  <c:v>21.114670404758417</c:v>
                </c:pt>
                <c:pt idx="130">
                  <c:v>26.154026965593914</c:v>
                </c:pt>
                <c:pt idx="131">
                  <c:v>28.688167241062473</c:v>
                </c:pt>
                <c:pt idx="132">
                  <c:v>16.390300336059035</c:v>
                </c:pt>
                <c:pt idx="133">
                  <c:v>30.19730539651728</c:v>
                </c:pt>
                <c:pt idx="134">
                  <c:v>22.21982606936551</c:v>
                </c:pt>
                <c:pt idx="135">
                  <c:v>24.325299013599107</c:v>
                </c:pt>
                <c:pt idx="136">
                  <c:v>24.670047504847293</c:v>
                </c:pt>
                <c:pt idx="137">
                  <c:v>17.252285771450733</c:v>
                </c:pt>
                <c:pt idx="138">
                  <c:v>21.837530084766065</c:v>
                </c:pt>
                <c:pt idx="139">
                  <c:v>26.396191351481587</c:v>
                </c:pt>
                <c:pt idx="140">
                  <c:v>26.532462174539376</c:v>
                </c:pt>
                <c:pt idx="141">
                  <c:v>30.188991473564947</c:v>
                </c:pt>
                <c:pt idx="142">
                  <c:v>29.302737765142982</c:v>
                </c:pt>
                <c:pt idx="143">
                  <c:v>23.560893124131027</c:v>
                </c:pt>
                <c:pt idx="144">
                  <c:v>15.448986983613853</c:v>
                </c:pt>
                <c:pt idx="145">
                  <c:v>17.2842784925563</c:v>
                </c:pt>
                <c:pt idx="146">
                  <c:v>22.269403608025129</c:v>
                </c:pt>
                <c:pt idx="147">
                  <c:v>27.97762505715594</c:v>
                </c:pt>
                <c:pt idx="148">
                  <c:v>14.634999635600765</c:v>
                </c:pt>
                <c:pt idx="149">
                  <c:v>21.191585728045034</c:v>
                </c:pt>
                <c:pt idx="150">
                  <c:v>21.774576485522456</c:v>
                </c:pt>
                <c:pt idx="151">
                  <c:v>25.040597357097742</c:v>
                </c:pt>
                <c:pt idx="152">
                  <c:v>23.386995238981161</c:v>
                </c:pt>
                <c:pt idx="153">
                  <c:v>21.826599500265306</c:v>
                </c:pt>
                <c:pt idx="154">
                  <c:v>25.251885942934269</c:v>
                </c:pt>
                <c:pt idx="155">
                  <c:v>25.904286473158749</c:v>
                </c:pt>
                <c:pt idx="156">
                  <c:v>21.353778260706406</c:v>
                </c:pt>
                <c:pt idx="157">
                  <c:v>26.673946133159394</c:v>
                </c:pt>
                <c:pt idx="158">
                  <c:v>23.367761236965588</c:v>
                </c:pt>
                <c:pt idx="159">
                  <c:v>26.54366892072575</c:v>
                </c:pt>
                <c:pt idx="160">
                  <c:v>24.102950337552944</c:v>
                </c:pt>
                <c:pt idx="161">
                  <c:v>24.616616265628974</c:v>
                </c:pt>
                <c:pt idx="162">
                  <c:v>19.617049349017332</c:v>
                </c:pt>
                <c:pt idx="163">
                  <c:v>16.652657247894332</c:v>
                </c:pt>
                <c:pt idx="164">
                  <c:v>20.26710861772354</c:v>
                </c:pt>
                <c:pt idx="165">
                  <c:v>23.865906288117106</c:v>
                </c:pt>
                <c:pt idx="166">
                  <c:v>21.97980089321581</c:v>
                </c:pt>
                <c:pt idx="167">
                  <c:v>27.606000702175191</c:v>
                </c:pt>
                <c:pt idx="168">
                  <c:v>29.029937613253725</c:v>
                </c:pt>
                <c:pt idx="169">
                  <c:v>16.551701878894377</c:v>
                </c:pt>
                <c:pt idx="170">
                  <c:v>23.693511373298087</c:v>
                </c:pt>
                <c:pt idx="171">
                  <c:v>22.199974986435041</c:v>
                </c:pt>
                <c:pt idx="172">
                  <c:v>30.227838429432229</c:v>
                </c:pt>
                <c:pt idx="173">
                  <c:v>16.232030836284007</c:v>
                </c:pt>
                <c:pt idx="174">
                  <c:v>21.180719499862061</c:v>
                </c:pt>
                <c:pt idx="175">
                  <c:v>29.304231148142954</c:v>
                </c:pt>
                <c:pt idx="176">
                  <c:v>19.270921952228953</c:v>
                </c:pt>
                <c:pt idx="177">
                  <c:v>21.337496621920018</c:v>
                </c:pt>
                <c:pt idx="178">
                  <c:v>19.882261827165582</c:v>
                </c:pt>
                <c:pt idx="179">
                  <c:v>19.174081363648757</c:v>
                </c:pt>
                <c:pt idx="180">
                  <c:v>17.410969342705418</c:v>
                </c:pt>
                <c:pt idx="181">
                  <c:v>26.762871626732398</c:v>
                </c:pt>
                <c:pt idx="182">
                  <c:v>19.126790289393441</c:v>
                </c:pt>
                <c:pt idx="183">
                  <c:v>23.7750551684749</c:v>
                </c:pt>
                <c:pt idx="184">
                  <c:v>32.169450877802539</c:v>
                </c:pt>
                <c:pt idx="185">
                  <c:v>16.37367304406893</c:v>
                </c:pt>
                <c:pt idx="186">
                  <c:v>30.117414799264356</c:v>
                </c:pt>
                <c:pt idx="187">
                  <c:v>19.641656050467862</c:v>
                </c:pt>
                <c:pt idx="188">
                  <c:v>24.875259074369612</c:v>
                </c:pt>
                <c:pt idx="189">
                  <c:v>18.461975331647547</c:v>
                </c:pt>
                <c:pt idx="190">
                  <c:v>25.581140084279685</c:v>
                </c:pt>
                <c:pt idx="191">
                  <c:v>30.707518008333555</c:v>
                </c:pt>
                <c:pt idx="192">
                  <c:v>19.707463303640221</c:v>
                </c:pt>
                <c:pt idx="193">
                  <c:v>23.773190681255453</c:v>
                </c:pt>
                <c:pt idx="194">
                  <c:v>25.6747815184623</c:v>
                </c:pt>
                <c:pt idx="195">
                  <c:v>30.86463305192186</c:v>
                </c:pt>
                <c:pt idx="196">
                  <c:v>27.708555772371788</c:v>
                </c:pt>
                <c:pt idx="197">
                  <c:v>21.936412304086886</c:v>
                </c:pt>
                <c:pt idx="198">
                  <c:v>22.149164867921492</c:v>
                </c:pt>
                <c:pt idx="199">
                  <c:v>20.117650752886998</c:v>
                </c:pt>
                <c:pt idx="200">
                  <c:v>25.26875253469386</c:v>
                </c:pt>
                <c:pt idx="201">
                  <c:v>33.841258318567554</c:v>
                </c:pt>
                <c:pt idx="202">
                  <c:v>25.846581393794231</c:v>
                </c:pt>
                <c:pt idx="203">
                  <c:v>27.051581458934244</c:v>
                </c:pt>
                <c:pt idx="204">
                  <c:v>31.324437796890912</c:v>
                </c:pt>
                <c:pt idx="205">
                  <c:v>19.137766857129677</c:v>
                </c:pt>
                <c:pt idx="206">
                  <c:v>17.403486918494821</c:v>
                </c:pt>
                <c:pt idx="207">
                  <c:v>23.809246479863482</c:v>
                </c:pt>
                <c:pt idx="208">
                  <c:v>33.914644668280722</c:v>
                </c:pt>
                <c:pt idx="209">
                  <c:v>14.540808564212938</c:v>
                </c:pt>
                <c:pt idx="210">
                  <c:v>28.769610254156664</c:v>
                </c:pt>
                <c:pt idx="211">
                  <c:v>26.715433980746845</c:v>
                </c:pt>
                <c:pt idx="212">
                  <c:v>18.287944011726054</c:v>
                </c:pt>
                <c:pt idx="213">
                  <c:v>22.116242299831555</c:v>
                </c:pt>
                <c:pt idx="214">
                  <c:v>22.373624856540367</c:v>
                </c:pt>
                <c:pt idx="215">
                  <c:v>28.909939656878088</c:v>
                </c:pt>
                <c:pt idx="216">
                  <c:v>27.107611498703857</c:v>
                </c:pt>
                <c:pt idx="217">
                  <c:v>16.608542441194306</c:v>
                </c:pt>
                <c:pt idx="218">
                  <c:v>26.720540886446312</c:v>
                </c:pt>
                <c:pt idx="219">
                  <c:v>25.563719130439459</c:v>
                </c:pt>
                <c:pt idx="220">
                  <c:v>17.737284571796334</c:v>
                </c:pt>
                <c:pt idx="221">
                  <c:v>31.822547965554772</c:v>
                </c:pt>
                <c:pt idx="222">
                  <c:v>27.819993762611638</c:v>
                </c:pt>
                <c:pt idx="223">
                  <c:v>15.151396095379177</c:v>
                </c:pt>
                <c:pt idx="224">
                  <c:v>27.796603143397412</c:v>
                </c:pt>
                <c:pt idx="225">
                  <c:v>23.150983036129741</c:v>
                </c:pt>
                <c:pt idx="226">
                  <c:v>22.685891765392018</c:v>
                </c:pt>
                <c:pt idx="227">
                  <c:v>25.817998094536748</c:v>
                </c:pt>
                <c:pt idx="228">
                  <c:v>24.114345356990654</c:v>
                </c:pt>
                <c:pt idx="229">
                  <c:v>15.256146014042342</c:v>
                </c:pt>
                <c:pt idx="230">
                  <c:v>27.452988363980197</c:v>
                </c:pt>
                <c:pt idx="231">
                  <c:v>28.507794467937885</c:v>
                </c:pt>
                <c:pt idx="232">
                  <c:v>17.174329054282651</c:v>
                </c:pt>
                <c:pt idx="233">
                  <c:v>17.809294301241742</c:v>
                </c:pt>
                <c:pt idx="234">
                  <c:v>28.209881733050871</c:v>
                </c:pt>
                <c:pt idx="235">
                  <c:v>21.585495157756487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26-4700-885D-7B3E5968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68096"/>
        <c:axId val="549766176"/>
      </c:scatterChart>
      <c:valAx>
        <c:axId val="54976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66176"/>
        <c:crosses val="autoZero"/>
        <c:crossBetween val="midCat"/>
      </c:valAx>
      <c:valAx>
        <c:axId val="5497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6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1082936</xdr:colOff>
      <xdr:row>12</xdr:row>
      <xdr:rowOff>50428</xdr:rowOff>
    </xdr:from>
    <xdr:to>
      <xdr:col>16</xdr:col>
      <xdr:colOff>308386</xdr:colOff>
      <xdr:row>27</xdr:row>
      <xdr:rowOff>50427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946E2-2960-4EE0-97D6-2C5DC036F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i046772\AppData\Local\Temp\MicrosoftEdgeDownloads\bbeeeb50-167f-42e2-b17f-3e1e42883703\CE%20469%20FALL%202025%20HOMEWORK%20ASSIGNMENT%202%20DATA.xlsx" TargetMode="External"/><Relationship Id="rId1" Type="http://schemas.openxmlformats.org/officeDocument/2006/relationships/externalLinkPath" Target="/Users/ii046772/AppData/Local/Temp/MicrosoftEdgeDownloads/bbeeeb50-167f-42e2-b17f-3e1e42883703/CE%20469%20FALL%202025%20HOMEWORK%20ASSIGNMENT%202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GLE VARIABLE"/>
      <sheetName val="TWO VARIABLES"/>
    </sheetNames>
    <sheetDataSet>
      <sheetData sheetId="0">
        <row r="2">
          <cell r="B2">
            <v>27</v>
          </cell>
          <cell r="C2">
            <v>28.646940985004829</v>
          </cell>
        </row>
        <row r="3">
          <cell r="B3">
            <v>12</v>
          </cell>
          <cell r="C3">
            <v>19.943689586227819</v>
          </cell>
        </row>
        <row r="4">
          <cell r="B4">
            <v>29</v>
          </cell>
          <cell r="C4">
            <v>30.047346492374604</v>
          </cell>
        </row>
        <row r="5">
          <cell r="B5">
            <v>12</v>
          </cell>
          <cell r="C5">
            <v>18.543702591049041</v>
          </cell>
        </row>
        <row r="6">
          <cell r="B6">
            <v>18</v>
          </cell>
          <cell r="C6">
            <v>23.324392870969799</v>
          </cell>
        </row>
        <row r="7">
          <cell r="B7">
            <v>24</v>
          </cell>
          <cell r="C7">
            <v>24.165811346688795</v>
          </cell>
        </row>
        <row r="8">
          <cell r="B8">
            <v>14</v>
          </cell>
          <cell r="C8">
            <v>22.267051860268992</v>
          </cell>
        </row>
        <row r="9">
          <cell r="B9">
            <v>27</v>
          </cell>
          <cell r="C9">
            <v>31.563309432324068</v>
          </cell>
        </row>
        <row r="10">
          <cell r="B10">
            <v>18</v>
          </cell>
          <cell r="C10">
            <v>22.83805873797499</v>
          </cell>
        </row>
        <row r="11">
          <cell r="B11">
            <v>24</v>
          </cell>
          <cell r="C11">
            <v>26.428093738764886</v>
          </cell>
        </row>
        <row r="12">
          <cell r="B12">
            <v>10</v>
          </cell>
          <cell r="C12">
            <v>19.067972104942701</v>
          </cell>
        </row>
        <row r="13">
          <cell r="B13">
            <v>19</v>
          </cell>
          <cell r="C13">
            <v>19.625244021881024</v>
          </cell>
        </row>
        <row r="14">
          <cell r="B14">
            <v>29</v>
          </cell>
          <cell r="C14">
            <v>32.296864995158288</v>
          </cell>
        </row>
        <row r="15">
          <cell r="B15">
            <v>16</v>
          </cell>
          <cell r="C15">
            <v>19.709385818953251</v>
          </cell>
        </row>
        <row r="16">
          <cell r="B16">
            <v>20</v>
          </cell>
          <cell r="C16">
            <v>23.777912869900639</v>
          </cell>
        </row>
        <row r="17">
          <cell r="B17">
            <v>11</v>
          </cell>
          <cell r="C17">
            <v>17.321880298263988</v>
          </cell>
        </row>
        <row r="18">
          <cell r="B18">
            <v>22</v>
          </cell>
          <cell r="C18">
            <v>24.790607240700037</v>
          </cell>
        </row>
        <row r="19">
          <cell r="B19">
            <v>12</v>
          </cell>
          <cell r="C19">
            <v>17.100763032414868</v>
          </cell>
        </row>
        <row r="20">
          <cell r="B20">
            <v>29</v>
          </cell>
          <cell r="C20">
            <v>29.784723663511372</v>
          </cell>
        </row>
        <row r="21">
          <cell r="B21">
            <v>30</v>
          </cell>
          <cell r="C21">
            <v>32.596883719811728</v>
          </cell>
        </row>
        <row r="22">
          <cell r="B22">
            <v>29</v>
          </cell>
          <cell r="C22">
            <v>33.301570714283145</v>
          </cell>
        </row>
        <row r="23">
          <cell r="B23">
            <v>29</v>
          </cell>
          <cell r="C23">
            <v>32.412175848048697</v>
          </cell>
        </row>
        <row r="24">
          <cell r="B24">
            <v>13</v>
          </cell>
          <cell r="C24">
            <v>19.507140545742423</v>
          </cell>
        </row>
        <row r="25">
          <cell r="B25">
            <v>21</v>
          </cell>
          <cell r="C25">
            <v>24.975039442808967</v>
          </cell>
        </row>
        <row r="26">
          <cell r="B26">
            <v>21</v>
          </cell>
          <cell r="C26">
            <v>24.836224434630527</v>
          </cell>
        </row>
        <row r="27">
          <cell r="B27">
            <v>11</v>
          </cell>
          <cell r="C27">
            <v>15.280845779116644</v>
          </cell>
        </row>
        <row r="28">
          <cell r="B28">
            <v>24</v>
          </cell>
          <cell r="C28">
            <v>24.762195058548347</v>
          </cell>
        </row>
        <row r="29">
          <cell r="B29">
            <v>16</v>
          </cell>
          <cell r="C29">
            <v>19.368393958409953</v>
          </cell>
        </row>
        <row r="30">
          <cell r="B30">
            <v>26</v>
          </cell>
          <cell r="C30">
            <v>27.725300871920279</v>
          </cell>
        </row>
        <row r="31">
          <cell r="B31">
            <v>18</v>
          </cell>
          <cell r="C31">
            <v>22.800172864993719</v>
          </cell>
        </row>
        <row r="32">
          <cell r="B32">
            <v>19</v>
          </cell>
          <cell r="C32">
            <v>21.180004270211825</v>
          </cell>
        </row>
        <row r="33">
          <cell r="B33">
            <v>10</v>
          </cell>
          <cell r="C33">
            <v>19.075799371847751</v>
          </cell>
        </row>
        <row r="34">
          <cell r="B34">
            <v>11</v>
          </cell>
          <cell r="C34">
            <v>15.155163367655865</v>
          </cell>
        </row>
        <row r="35">
          <cell r="B35">
            <v>15</v>
          </cell>
          <cell r="C35">
            <v>22.178498224185361</v>
          </cell>
        </row>
        <row r="36">
          <cell r="B36">
            <v>12</v>
          </cell>
          <cell r="C36">
            <v>16.087729426656107</v>
          </cell>
        </row>
        <row r="37">
          <cell r="B37">
            <v>11</v>
          </cell>
          <cell r="C37">
            <v>17.684092313936844</v>
          </cell>
        </row>
        <row r="38">
          <cell r="B38">
            <v>25</v>
          </cell>
          <cell r="C38">
            <v>28.363664277210439</v>
          </cell>
        </row>
        <row r="39">
          <cell r="B39">
            <v>13</v>
          </cell>
          <cell r="C39">
            <v>15.157878233331834</v>
          </cell>
        </row>
        <row r="40">
          <cell r="B40">
            <v>29</v>
          </cell>
          <cell r="C40">
            <v>30.257531188811789</v>
          </cell>
        </row>
        <row r="41">
          <cell r="B41">
            <v>13</v>
          </cell>
          <cell r="C41">
            <v>15.248483724236186</v>
          </cell>
        </row>
        <row r="42">
          <cell r="B42">
            <v>11</v>
          </cell>
          <cell r="C42">
            <v>17.280222681053868</v>
          </cell>
        </row>
        <row r="43">
          <cell r="B43">
            <v>12</v>
          </cell>
          <cell r="C43">
            <v>15.214404829207131</v>
          </cell>
        </row>
        <row r="44">
          <cell r="B44">
            <v>19</v>
          </cell>
          <cell r="C44">
            <v>21.212105060632901</v>
          </cell>
        </row>
        <row r="45">
          <cell r="B45">
            <v>10</v>
          </cell>
          <cell r="C45">
            <v>13.873444206607338</v>
          </cell>
        </row>
        <row r="46">
          <cell r="B46">
            <v>28</v>
          </cell>
          <cell r="C46">
            <v>32.656852045332258</v>
          </cell>
        </row>
        <row r="47">
          <cell r="B47">
            <v>22</v>
          </cell>
          <cell r="C47">
            <v>21.839705938907588</v>
          </cell>
        </row>
        <row r="48">
          <cell r="B48">
            <v>30</v>
          </cell>
          <cell r="C48">
            <v>29.216544348521904</v>
          </cell>
        </row>
        <row r="49">
          <cell r="B49">
            <v>21</v>
          </cell>
          <cell r="C49">
            <v>22.932183078470295</v>
          </cell>
        </row>
        <row r="50">
          <cell r="B50">
            <v>24</v>
          </cell>
          <cell r="C50">
            <v>25.850552004522797</v>
          </cell>
        </row>
        <row r="51">
          <cell r="B51">
            <v>12</v>
          </cell>
          <cell r="C51">
            <v>15.142463221316323</v>
          </cell>
        </row>
        <row r="52">
          <cell r="B52">
            <v>13</v>
          </cell>
          <cell r="C52">
            <v>18.948931357639083</v>
          </cell>
        </row>
        <row r="53">
          <cell r="B53">
            <v>22</v>
          </cell>
          <cell r="C53">
            <v>25.095243200205918</v>
          </cell>
        </row>
        <row r="54">
          <cell r="B54">
            <v>21</v>
          </cell>
          <cell r="C54">
            <v>23.167825754959313</v>
          </cell>
        </row>
        <row r="55">
          <cell r="B55">
            <v>29</v>
          </cell>
          <cell r="C55">
            <v>31.899276101806468</v>
          </cell>
        </row>
        <row r="56">
          <cell r="B56">
            <v>17</v>
          </cell>
          <cell r="C56">
            <v>19.330703621002566</v>
          </cell>
        </row>
        <row r="57">
          <cell r="B57">
            <v>15</v>
          </cell>
          <cell r="C57">
            <v>22.051001019272924</v>
          </cell>
        </row>
        <row r="58">
          <cell r="B58">
            <v>16</v>
          </cell>
          <cell r="C58">
            <v>20.183802995848605</v>
          </cell>
        </row>
        <row r="59">
          <cell r="B59">
            <v>26</v>
          </cell>
          <cell r="C59">
            <v>24.919472488835311</v>
          </cell>
        </row>
        <row r="60">
          <cell r="B60">
            <v>24</v>
          </cell>
          <cell r="C60">
            <v>27.289866654098898</v>
          </cell>
        </row>
        <row r="61">
          <cell r="B61">
            <v>19</v>
          </cell>
          <cell r="C61">
            <v>25.383226067158599</v>
          </cell>
        </row>
        <row r="62">
          <cell r="B62">
            <v>23</v>
          </cell>
          <cell r="C62">
            <v>22.883012719007031</v>
          </cell>
        </row>
        <row r="63">
          <cell r="B63">
            <v>20</v>
          </cell>
          <cell r="C63">
            <v>22.557968838562353</v>
          </cell>
        </row>
        <row r="64">
          <cell r="B64">
            <v>26</v>
          </cell>
          <cell r="C64">
            <v>30.04809883072085</v>
          </cell>
        </row>
        <row r="65">
          <cell r="B65">
            <v>14</v>
          </cell>
          <cell r="C65">
            <v>20.660444699653603</v>
          </cell>
        </row>
        <row r="66">
          <cell r="B66">
            <v>18</v>
          </cell>
          <cell r="C66">
            <v>25.486084276678664</v>
          </cell>
        </row>
        <row r="67">
          <cell r="B67">
            <v>20</v>
          </cell>
          <cell r="C67">
            <v>26.657069452193983</v>
          </cell>
        </row>
        <row r="68">
          <cell r="B68">
            <v>10</v>
          </cell>
          <cell r="C68">
            <v>19.313177758276019</v>
          </cell>
        </row>
        <row r="69">
          <cell r="B69">
            <v>20</v>
          </cell>
          <cell r="C69">
            <v>26.906666663525399</v>
          </cell>
        </row>
        <row r="70">
          <cell r="B70">
            <v>16</v>
          </cell>
          <cell r="C70">
            <v>22.813668606071182</v>
          </cell>
        </row>
        <row r="71">
          <cell r="B71">
            <v>16</v>
          </cell>
          <cell r="C71">
            <v>19.117137296560752</v>
          </cell>
        </row>
        <row r="72">
          <cell r="B72">
            <v>23</v>
          </cell>
          <cell r="C72">
            <v>28.461931742047902</v>
          </cell>
        </row>
        <row r="73">
          <cell r="B73">
            <v>17</v>
          </cell>
          <cell r="C73">
            <v>24.666036172840506</v>
          </cell>
        </row>
        <row r="74">
          <cell r="B74">
            <v>21</v>
          </cell>
          <cell r="C74">
            <v>21.676137989743481</v>
          </cell>
        </row>
        <row r="75">
          <cell r="B75">
            <v>23</v>
          </cell>
          <cell r="C75">
            <v>23.184885144735897</v>
          </cell>
        </row>
        <row r="76">
          <cell r="B76">
            <v>30</v>
          </cell>
          <cell r="C76">
            <v>32.265780026398104</v>
          </cell>
        </row>
        <row r="77">
          <cell r="B77">
            <v>27</v>
          </cell>
          <cell r="C77">
            <v>31.493723447641976</v>
          </cell>
        </row>
        <row r="78">
          <cell r="B78">
            <v>18</v>
          </cell>
          <cell r="C78">
            <v>23.100977086514572</v>
          </cell>
        </row>
        <row r="79">
          <cell r="B79">
            <v>27</v>
          </cell>
          <cell r="C79">
            <v>30.219317203285296</v>
          </cell>
        </row>
        <row r="80">
          <cell r="B80">
            <v>26</v>
          </cell>
          <cell r="C80">
            <v>26.954981490778291</v>
          </cell>
        </row>
        <row r="81">
          <cell r="B81">
            <v>26</v>
          </cell>
          <cell r="C81">
            <v>28.562375056775796</v>
          </cell>
        </row>
        <row r="82">
          <cell r="B82">
            <v>22</v>
          </cell>
          <cell r="C82">
            <v>24.059514997698681</v>
          </cell>
        </row>
        <row r="83">
          <cell r="B83">
            <v>20</v>
          </cell>
          <cell r="C83">
            <v>24.610269870221149</v>
          </cell>
        </row>
        <row r="84">
          <cell r="B84">
            <v>26</v>
          </cell>
          <cell r="C84">
            <v>28.147492765051236</v>
          </cell>
        </row>
        <row r="85">
          <cell r="B85">
            <v>15</v>
          </cell>
          <cell r="C85">
            <v>18.475781538967148</v>
          </cell>
        </row>
        <row r="86">
          <cell r="B86">
            <v>21</v>
          </cell>
          <cell r="C86">
            <v>22.761312500340857</v>
          </cell>
        </row>
        <row r="87">
          <cell r="B87">
            <v>15</v>
          </cell>
          <cell r="C87">
            <v>21.605357331509374</v>
          </cell>
        </row>
        <row r="88">
          <cell r="B88">
            <v>11</v>
          </cell>
          <cell r="C88">
            <v>16.449904931017052</v>
          </cell>
        </row>
        <row r="89">
          <cell r="B89">
            <v>12</v>
          </cell>
          <cell r="C89">
            <v>20.104038273538244</v>
          </cell>
        </row>
        <row r="90">
          <cell r="B90">
            <v>13</v>
          </cell>
          <cell r="C90">
            <v>17.634559911075918</v>
          </cell>
        </row>
        <row r="91">
          <cell r="B91">
            <v>12</v>
          </cell>
          <cell r="C91">
            <v>19.619920773049991</v>
          </cell>
        </row>
        <row r="92">
          <cell r="B92">
            <v>19</v>
          </cell>
          <cell r="C92">
            <v>23.193941307257781</v>
          </cell>
        </row>
        <row r="93">
          <cell r="B93">
            <v>22</v>
          </cell>
          <cell r="C93">
            <v>27.155286683931891</v>
          </cell>
        </row>
        <row r="94">
          <cell r="B94">
            <v>14</v>
          </cell>
          <cell r="C94">
            <v>21.912104090420307</v>
          </cell>
        </row>
        <row r="95">
          <cell r="B95">
            <v>13</v>
          </cell>
          <cell r="C95">
            <v>20.439140047687445</v>
          </cell>
        </row>
        <row r="96">
          <cell r="B96">
            <v>23</v>
          </cell>
          <cell r="C96">
            <v>22.759442672081004</v>
          </cell>
        </row>
        <row r="97">
          <cell r="B97">
            <v>16</v>
          </cell>
          <cell r="C97">
            <v>17.423043165451688</v>
          </cell>
        </row>
        <row r="98">
          <cell r="B98">
            <v>14</v>
          </cell>
          <cell r="C98">
            <v>18.670531307393322</v>
          </cell>
        </row>
        <row r="99">
          <cell r="B99">
            <v>14</v>
          </cell>
          <cell r="C99">
            <v>15.788140552613948</v>
          </cell>
        </row>
        <row r="100">
          <cell r="B100">
            <v>23</v>
          </cell>
          <cell r="C100">
            <v>24.946603084523005</v>
          </cell>
        </row>
        <row r="101">
          <cell r="B101">
            <v>25</v>
          </cell>
          <cell r="C101">
            <v>24.5853121052821</v>
          </cell>
        </row>
        <row r="102">
          <cell r="B102">
            <v>19</v>
          </cell>
          <cell r="C102">
            <v>25.237189636419735</v>
          </cell>
        </row>
        <row r="103">
          <cell r="B103">
            <v>11</v>
          </cell>
          <cell r="C103">
            <v>18.363534759590188</v>
          </cell>
        </row>
        <row r="104">
          <cell r="B104">
            <v>25</v>
          </cell>
          <cell r="C104">
            <v>29.366820969025738</v>
          </cell>
        </row>
        <row r="105">
          <cell r="B105">
            <v>28</v>
          </cell>
          <cell r="C105">
            <v>26.569087262746898</v>
          </cell>
        </row>
        <row r="106">
          <cell r="B106">
            <v>25</v>
          </cell>
          <cell r="C106">
            <v>30.251404058671447</v>
          </cell>
        </row>
        <row r="107">
          <cell r="B107">
            <v>13</v>
          </cell>
          <cell r="C107">
            <v>15.079757856770353</v>
          </cell>
        </row>
        <row r="108">
          <cell r="B108">
            <v>16</v>
          </cell>
          <cell r="C108">
            <v>18.986875348640812</v>
          </cell>
        </row>
        <row r="109">
          <cell r="B109">
            <v>28</v>
          </cell>
          <cell r="C109">
            <v>27.286242297675091</v>
          </cell>
        </row>
        <row r="110">
          <cell r="B110">
            <v>20</v>
          </cell>
          <cell r="C110">
            <v>26.30671267264961</v>
          </cell>
        </row>
        <row r="111">
          <cell r="B111">
            <v>15</v>
          </cell>
          <cell r="C111">
            <v>17.855667164743526</v>
          </cell>
        </row>
        <row r="112">
          <cell r="B112">
            <v>21</v>
          </cell>
          <cell r="C112">
            <v>24.982419641797105</v>
          </cell>
        </row>
        <row r="113">
          <cell r="B113">
            <v>14</v>
          </cell>
          <cell r="C113">
            <v>16.497330950837771</v>
          </cell>
        </row>
        <row r="114">
          <cell r="B114">
            <v>14</v>
          </cell>
          <cell r="C114">
            <v>20.63097080474915</v>
          </cell>
        </row>
        <row r="115">
          <cell r="B115">
            <v>13</v>
          </cell>
          <cell r="C115">
            <v>18.527164413343698</v>
          </cell>
        </row>
        <row r="116">
          <cell r="B116">
            <v>30</v>
          </cell>
          <cell r="C116">
            <v>29.676035982075696</v>
          </cell>
        </row>
        <row r="117">
          <cell r="B117">
            <v>21</v>
          </cell>
          <cell r="C117">
            <v>25.723639819905046</v>
          </cell>
        </row>
        <row r="118">
          <cell r="B118">
            <v>15</v>
          </cell>
          <cell r="C118">
            <v>21.543733751178348</v>
          </cell>
        </row>
        <row r="119">
          <cell r="B119">
            <v>21</v>
          </cell>
          <cell r="C119">
            <v>27.589250723839356</v>
          </cell>
        </row>
        <row r="120">
          <cell r="B120">
            <v>12</v>
          </cell>
          <cell r="C120">
            <v>15.934357184739998</v>
          </cell>
        </row>
        <row r="121">
          <cell r="B121">
            <v>23</v>
          </cell>
          <cell r="C121">
            <v>22.693235872730195</v>
          </cell>
        </row>
        <row r="122">
          <cell r="B122">
            <v>10</v>
          </cell>
          <cell r="C122">
            <v>14.282976156064064</v>
          </cell>
        </row>
        <row r="123">
          <cell r="B123">
            <v>22</v>
          </cell>
          <cell r="C123">
            <v>22.500079596832641</v>
          </cell>
        </row>
        <row r="124">
          <cell r="B124">
            <v>10</v>
          </cell>
          <cell r="C124">
            <v>19.25839170857034</v>
          </cell>
        </row>
        <row r="125">
          <cell r="B125">
            <v>13</v>
          </cell>
          <cell r="C125">
            <v>15.133582810510934</v>
          </cell>
        </row>
        <row r="126">
          <cell r="B126">
            <v>18</v>
          </cell>
          <cell r="C126">
            <v>24.273396065094623</v>
          </cell>
        </row>
        <row r="127">
          <cell r="B127">
            <v>15</v>
          </cell>
          <cell r="C127">
            <v>18.711346147467086</v>
          </cell>
        </row>
        <row r="128">
          <cell r="B128">
            <v>12</v>
          </cell>
          <cell r="C128">
            <v>15.771732589649579</v>
          </cell>
        </row>
        <row r="129">
          <cell r="B129">
            <v>12</v>
          </cell>
          <cell r="C129">
            <v>18.313837327067109</v>
          </cell>
        </row>
        <row r="130">
          <cell r="B130">
            <v>23</v>
          </cell>
          <cell r="C130">
            <v>24.048388786605368</v>
          </cell>
        </row>
        <row r="131">
          <cell r="B131">
            <v>18</v>
          </cell>
          <cell r="C131">
            <v>21.114670404758417</v>
          </cell>
        </row>
        <row r="132">
          <cell r="B132">
            <v>19</v>
          </cell>
          <cell r="C132">
            <v>26.154026965593914</v>
          </cell>
        </row>
        <row r="133">
          <cell r="B133">
            <v>26</v>
          </cell>
          <cell r="C133">
            <v>28.688167241062473</v>
          </cell>
        </row>
        <row r="134">
          <cell r="B134">
            <v>13</v>
          </cell>
          <cell r="C134">
            <v>16.390300336059035</v>
          </cell>
        </row>
        <row r="135">
          <cell r="B135">
            <v>24</v>
          </cell>
          <cell r="C135">
            <v>30.19730539651728</v>
          </cell>
        </row>
        <row r="136">
          <cell r="B136">
            <v>15</v>
          </cell>
          <cell r="C136">
            <v>22.21982606936551</v>
          </cell>
        </row>
        <row r="137">
          <cell r="B137">
            <v>19</v>
          </cell>
          <cell r="C137">
            <v>24.325299013599107</v>
          </cell>
        </row>
        <row r="138">
          <cell r="B138">
            <v>22</v>
          </cell>
          <cell r="C138">
            <v>24.670047504847293</v>
          </cell>
        </row>
        <row r="139">
          <cell r="B139">
            <v>15</v>
          </cell>
          <cell r="C139">
            <v>17.252285771450733</v>
          </cell>
        </row>
        <row r="140">
          <cell r="B140">
            <v>20</v>
          </cell>
          <cell r="C140">
            <v>21.837530084766065</v>
          </cell>
        </row>
        <row r="141">
          <cell r="B141">
            <v>25</v>
          </cell>
          <cell r="C141">
            <v>26.396191351481587</v>
          </cell>
        </row>
        <row r="142">
          <cell r="B142">
            <v>26</v>
          </cell>
          <cell r="C142">
            <v>26.532462174539376</v>
          </cell>
        </row>
        <row r="143">
          <cell r="B143">
            <v>26</v>
          </cell>
          <cell r="C143">
            <v>30.188991473564947</v>
          </cell>
        </row>
        <row r="144">
          <cell r="B144">
            <v>30</v>
          </cell>
          <cell r="C144">
            <v>29.302737765142982</v>
          </cell>
        </row>
        <row r="145">
          <cell r="B145">
            <v>18</v>
          </cell>
          <cell r="C145">
            <v>23.560893124131027</v>
          </cell>
        </row>
        <row r="146">
          <cell r="B146">
            <v>10</v>
          </cell>
          <cell r="C146">
            <v>15.448986983613853</v>
          </cell>
        </row>
        <row r="147">
          <cell r="B147">
            <v>15</v>
          </cell>
          <cell r="C147">
            <v>17.2842784925563</v>
          </cell>
        </row>
        <row r="148">
          <cell r="B148">
            <v>22</v>
          </cell>
          <cell r="C148">
            <v>22.269403608025129</v>
          </cell>
        </row>
        <row r="149">
          <cell r="B149">
            <v>24</v>
          </cell>
          <cell r="C149">
            <v>27.97762505715594</v>
          </cell>
        </row>
        <row r="150">
          <cell r="B150">
            <v>12</v>
          </cell>
          <cell r="C150">
            <v>14.634999635600765</v>
          </cell>
        </row>
        <row r="151">
          <cell r="B151">
            <v>15</v>
          </cell>
          <cell r="C151">
            <v>21.191585728045034</v>
          </cell>
        </row>
        <row r="152">
          <cell r="B152">
            <v>19</v>
          </cell>
          <cell r="C152">
            <v>21.774576485522456</v>
          </cell>
        </row>
        <row r="153">
          <cell r="B153">
            <v>19</v>
          </cell>
          <cell r="C153">
            <v>25.040597357097742</v>
          </cell>
        </row>
        <row r="154">
          <cell r="B154">
            <v>16</v>
          </cell>
          <cell r="C154">
            <v>23.386995238981161</v>
          </cell>
        </row>
        <row r="155">
          <cell r="B155">
            <v>13</v>
          </cell>
          <cell r="C155">
            <v>21.826599500265306</v>
          </cell>
        </row>
        <row r="156">
          <cell r="B156">
            <v>18</v>
          </cell>
          <cell r="C156">
            <v>25.251885942934269</v>
          </cell>
        </row>
        <row r="157">
          <cell r="B157">
            <v>27</v>
          </cell>
          <cell r="C157">
            <v>25.904286473158749</v>
          </cell>
        </row>
        <row r="158">
          <cell r="B158">
            <v>18</v>
          </cell>
          <cell r="C158">
            <v>21.353778260706406</v>
          </cell>
        </row>
        <row r="159">
          <cell r="B159">
            <v>25</v>
          </cell>
          <cell r="C159">
            <v>26.673946133159394</v>
          </cell>
        </row>
        <row r="160">
          <cell r="B160">
            <v>16</v>
          </cell>
          <cell r="C160">
            <v>23.367761236965588</v>
          </cell>
        </row>
        <row r="161">
          <cell r="B161">
            <v>23</v>
          </cell>
          <cell r="C161">
            <v>26.54366892072575</v>
          </cell>
        </row>
        <row r="162">
          <cell r="B162">
            <v>24</v>
          </cell>
          <cell r="C162">
            <v>24.102950337552944</v>
          </cell>
        </row>
        <row r="163">
          <cell r="B163">
            <v>20</v>
          </cell>
          <cell r="C163">
            <v>24.616616265628974</v>
          </cell>
        </row>
        <row r="164">
          <cell r="B164">
            <v>17</v>
          </cell>
          <cell r="C164">
            <v>19.617049349017332</v>
          </cell>
        </row>
        <row r="165">
          <cell r="B165">
            <v>15</v>
          </cell>
          <cell r="C165">
            <v>16.652657247894332</v>
          </cell>
        </row>
        <row r="166">
          <cell r="B166">
            <v>17</v>
          </cell>
          <cell r="C166">
            <v>20.26710861772354</v>
          </cell>
        </row>
        <row r="167">
          <cell r="B167">
            <v>23</v>
          </cell>
          <cell r="C167">
            <v>23.865906288117106</v>
          </cell>
        </row>
        <row r="168">
          <cell r="B168">
            <v>19</v>
          </cell>
          <cell r="C168">
            <v>21.97980089321581</v>
          </cell>
        </row>
        <row r="169">
          <cell r="B169">
            <v>25</v>
          </cell>
          <cell r="C169">
            <v>27.606000702175191</v>
          </cell>
        </row>
        <row r="170">
          <cell r="B170">
            <v>26</v>
          </cell>
          <cell r="C170">
            <v>29.029937613253725</v>
          </cell>
        </row>
        <row r="171">
          <cell r="B171">
            <v>12</v>
          </cell>
          <cell r="C171">
            <v>16.551701878894377</v>
          </cell>
        </row>
        <row r="172">
          <cell r="B172">
            <v>19</v>
          </cell>
          <cell r="C172">
            <v>23.693511373298087</v>
          </cell>
        </row>
        <row r="173">
          <cell r="B173">
            <v>21</v>
          </cell>
          <cell r="C173">
            <v>22.199974986435041</v>
          </cell>
        </row>
        <row r="174">
          <cell r="B174">
            <v>29</v>
          </cell>
          <cell r="C174">
            <v>30.227838429432229</v>
          </cell>
        </row>
        <row r="175">
          <cell r="B175">
            <v>14</v>
          </cell>
          <cell r="C175">
            <v>16.232030836284007</v>
          </cell>
        </row>
        <row r="176">
          <cell r="B176">
            <v>15</v>
          </cell>
          <cell r="C176">
            <v>21.180719499862061</v>
          </cell>
        </row>
        <row r="177">
          <cell r="B177">
            <v>26</v>
          </cell>
          <cell r="C177">
            <v>29.304231148142954</v>
          </cell>
        </row>
        <row r="178">
          <cell r="B178">
            <v>17</v>
          </cell>
          <cell r="C178">
            <v>19.270921952228953</v>
          </cell>
        </row>
        <row r="179">
          <cell r="B179">
            <v>19</v>
          </cell>
          <cell r="C179">
            <v>21.337496621920018</v>
          </cell>
        </row>
        <row r="180">
          <cell r="B180">
            <v>19</v>
          </cell>
          <cell r="C180">
            <v>19.882261827165582</v>
          </cell>
        </row>
        <row r="181">
          <cell r="B181">
            <v>14</v>
          </cell>
          <cell r="C181">
            <v>19.174081363648757</v>
          </cell>
        </row>
        <row r="182">
          <cell r="B182">
            <v>12</v>
          </cell>
          <cell r="C182">
            <v>17.410969342705418</v>
          </cell>
        </row>
        <row r="183">
          <cell r="B183">
            <v>24</v>
          </cell>
          <cell r="C183">
            <v>26.762871626732398</v>
          </cell>
        </row>
        <row r="184">
          <cell r="B184">
            <v>10</v>
          </cell>
          <cell r="C184">
            <v>19.126790289393441</v>
          </cell>
        </row>
        <row r="185">
          <cell r="B185">
            <v>18</v>
          </cell>
          <cell r="C185">
            <v>23.7750551684749</v>
          </cell>
        </row>
        <row r="186">
          <cell r="B186">
            <v>28</v>
          </cell>
          <cell r="C186">
            <v>32.169450877802539</v>
          </cell>
        </row>
        <row r="187">
          <cell r="B187">
            <v>11</v>
          </cell>
          <cell r="C187">
            <v>16.37367304406893</v>
          </cell>
        </row>
        <row r="188">
          <cell r="B188">
            <v>27</v>
          </cell>
          <cell r="C188">
            <v>30.117414799264356</v>
          </cell>
        </row>
        <row r="189">
          <cell r="B189">
            <v>17</v>
          </cell>
          <cell r="C189">
            <v>19.641656050467862</v>
          </cell>
        </row>
        <row r="190">
          <cell r="B190">
            <v>18</v>
          </cell>
          <cell r="C190">
            <v>24.875259074369612</v>
          </cell>
        </row>
        <row r="191">
          <cell r="B191">
            <v>14</v>
          </cell>
          <cell r="C191">
            <v>18.461975331647547</v>
          </cell>
        </row>
        <row r="192">
          <cell r="B192">
            <v>24</v>
          </cell>
          <cell r="C192">
            <v>25.581140084279685</v>
          </cell>
        </row>
        <row r="193">
          <cell r="B193">
            <v>28</v>
          </cell>
          <cell r="C193">
            <v>30.707518008333555</v>
          </cell>
        </row>
        <row r="194">
          <cell r="B194">
            <v>17</v>
          </cell>
          <cell r="C194">
            <v>19.707463303640221</v>
          </cell>
        </row>
        <row r="195">
          <cell r="B195">
            <v>18</v>
          </cell>
          <cell r="C195">
            <v>23.773190681255453</v>
          </cell>
        </row>
        <row r="196">
          <cell r="B196">
            <v>27</v>
          </cell>
          <cell r="C196">
            <v>25.6747815184623</v>
          </cell>
        </row>
        <row r="197">
          <cell r="B197">
            <v>28</v>
          </cell>
          <cell r="C197">
            <v>30.86463305192186</v>
          </cell>
        </row>
        <row r="198">
          <cell r="B198">
            <v>26</v>
          </cell>
          <cell r="C198">
            <v>27.708555772371788</v>
          </cell>
        </row>
        <row r="199">
          <cell r="B199">
            <v>19</v>
          </cell>
          <cell r="C199">
            <v>21.936412304086886</v>
          </cell>
        </row>
        <row r="200">
          <cell r="B200">
            <v>14</v>
          </cell>
          <cell r="C200">
            <v>22.149164867921492</v>
          </cell>
        </row>
        <row r="201">
          <cell r="B201">
            <v>13</v>
          </cell>
          <cell r="C201">
            <v>20.117650752886998</v>
          </cell>
        </row>
        <row r="202">
          <cell r="B202">
            <v>21</v>
          </cell>
          <cell r="C202">
            <v>25.26875253469386</v>
          </cell>
        </row>
        <row r="203">
          <cell r="B203">
            <v>30</v>
          </cell>
          <cell r="C203">
            <v>33.841258318567554</v>
          </cell>
        </row>
        <row r="204">
          <cell r="B204">
            <v>20</v>
          </cell>
          <cell r="C204">
            <v>25.846581393794231</v>
          </cell>
        </row>
        <row r="205">
          <cell r="B205">
            <v>23</v>
          </cell>
          <cell r="C205">
            <v>27.051581458934244</v>
          </cell>
        </row>
        <row r="206">
          <cell r="B206">
            <v>29</v>
          </cell>
          <cell r="C206">
            <v>31.324437796890912</v>
          </cell>
        </row>
        <row r="207">
          <cell r="B207">
            <v>17</v>
          </cell>
          <cell r="C207">
            <v>19.137766857129677</v>
          </cell>
        </row>
        <row r="208">
          <cell r="B208">
            <v>14</v>
          </cell>
          <cell r="C208">
            <v>17.403486918494821</v>
          </cell>
        </row>
        <row r="209">
          <cell r="B209">
            <v>20</v>
          </cell>
          <cell r="C209">
            <v>23.809246479863482</v>
          </cell>
        </row>
        <row r="210">
          <cell r="B210">
            <v>29</v>
          </cell>
          <cell r="C210">
            <v>33.914644668280722</v>
          </cell>
        </row>
        <row r="211">
          <cell r="B211">
            <v>10</v>
          </cell>
          <cell r="C211">
            <v>14.540808564212938</v>
          </cell>
        </row>
        <row r="212">
          <cell r="B212">
            <v>28</v>
          </cell>
          <cell r="C212">
            <v>28.769610254156664</v>
          </cell>
        </row>
        <row r="213">
          <cell r="B213">
            <v>27</v>
          </cell>
          <cell r="C213">
            <v>26.715433980746845</v>
          </cell>
        </row>
        <row r="214">
          <cell r="B214">
            <v>11</v>
          </cell>
          <cell r="C214">
            <v>18.287944011726054</v>
          </cell>
        </row>
        <row r="215">
          <cell r="B215">
            <v>15</v>
          </cell>
          <cell r="C215">
            <v>22.116242299831555</v>
          </cell>
        </row>
        <row r="216">
          <cell r="B216">
            <v>19</v>
          </cell>
          <cell r="C216">
            <v>22.373624856540367</v>
          </cell>
        </row>
        <row r="217">
          <cell r="B217">
            <v>26</v>
          </cell>
          <cell r="C217">
            <v>28.909939656878088</v>
          </cell>
        </row>
        <row r="218">
          <cell r="B218">
            <v>27</v>
          </cell>
          <cell r="C218">
            <v>27.107611498703857</v>
          </cell>
        </row>
        <row r="219">
          <cell r="B219">
            <v>12</v>
          </cell>
          <cell r="C219">
            <v>16.608542441194306</v>
          </cell>
        </row>
        <row r="220">
          <cell r="B220">
            <v>28</v>
          </cell>
          <cell r="C220">
            <v>26.720540886446312</v>
          </cell>
        </row>
        <row r="221">
          <cell r="B221">
            <v>22</v>
          </cell>
          <cell r="C221">
            <v>25.563719130439459</v>
          </cell>
        </row>
        <row r="222">
          <cell r="B222">
            <v>14</v>
          </cell>
          <cell r="C222">
            <v>17.737284571796334</v>
          </cell>
        </row>
        <row r="223">
          <cell r="B223">
            <v>30</v>
          </cell>
          <cell r="C223">
            <v>31.822547965554772</v>
          </cell>
        </row>
        <row r="224">
          <cell r="B224">
            <v>24</v>
          </cell>
          <cell r="C224">
            <v>27.819993762611638</v>
          </cell>
        </row>
        <row r="225">
          <cell r="B225">
            <v>10</v>
          </cell>
          <cell r="C225">
            <v>15.151396095379177</v>
          </cell>
        </row>
        <row r="226">
          <cell r="B226">
            <v>28</v>
          </cell>
          <cell r="C226">
            <v>27.796603143397412</v>
          </cell>
        </row>
        <row r="227">
          <cell r="B227">
            <v>16</v>
          </cell>
          <cell r="C227">
            <v>23.150983036129741</v>
          </cell>
        </row>
        <row r="228">
          <cell r="B228">
            <v>14</v>
          </cell>
          <cell r="C228">
            <v>22.685891765392018</v>
          </cell>
        </row>
        <row r="229">
          <cell r="B229">
            <v>27</v>
          </cell>
          <cell r="C229">
            <v>25.817998094536748</v>
          </cell>
        </row>
        <row r="230">
          <cell r="B230">
            <v>22</v>
          </cell>
          <cell r="C230">
            <v>24.114345356990654</v>
          </cell>
        </row>
        <row r="231">
          <cell r="B231">
            <v>11</v>
          </cell>
          <cell r="C231">
            <v>15.256146014042342</v>
          </cell>
        </row>
        <row r="232">
          <cell r="B232">
            <v>29</v>
          </cell>
          <cell r="C232">
            <v>27.452988363980197</v>
          </cell>
        </row>
        <row r="233">
          <cell r="B233">
            <v>29</v>
          </cell>
          <cell r="C233">
            <v>28.507794467937885</v>
          </cell>
        </row>
        <row r="234">
          <cell r="B234">
            <v>10</v>
          </cell>
          <cell r="C234">
            <v>17.174329054282651</v>
          </cell>
        </row>
        <row r="235">
          <cell r="B235">
            <v>12</v>
          </cell>
          <cell r="C235">
            <v>17.809294301241742</v>
          </cell>
        </row>
        <row r="236">
          <cell r="B236">
            <v>22</v>
          </cell>
          <cell r="C236">
            <v>28.209881733050871</v>
          </cell>
        </row>
        <row r="237">
          <cell r="B237">
            <v>19</v>
          </cell>
          <cell r="C237">
            <v>21.585495157756487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564D-F78C-4A22-8805-382E8EFEDBBC}">
  <dimension ref="B1:O237"/>
  <sheetViews>
    <sheetView tabSelected="1" topLeftCell="I1" zoomScale="77" zoomScaleNormal="126" workbookViewId="0">
      <selection activeCell="P11" sqref="P11"/>
    </sheetView>
  </sheetViews>
  <sheetFormatPr defaultRowHeight="14.4" x14ac:dyDescent="0.3"/>
  <cols>
    <col min="2" max="2" width="10.5546875" bestFit="1" customWidth="1"/>
    <col min="3" max="3" width="10.5546875" style="11" bestFit="1" customWidth="1"/>
    <col min="4" max="4" width="12.5546875" bestFit="1" customWidth="1"/>
    <col min="5" max="5" width="11.5546875" bestFit="1" customWidth="1"/>
    <col min="6" max="6" width="10.5546875" bestFit="1" customWidth="1"/>
    <col min="7" max="7" width="10.21875" bestFit="1" customWidth="1"/>
    <col min="8" max="8" width="30.44140625" customWidth="1"/>
    <col min="9" max="9" width="18.33203125" customWidth="1"/>
    <col min="10" max="11" width="21.21875" customWidth="1"/>
    <col min="12" max="12" width="13.5546875" customWidth="1"/>
    <col min="13" max="13" width="15.6640625" bestFit="1" customWidth="1"/>
  </cols>
  <sheetData>
    <row r="1" spans="2:15" x14ac:dyDescent="0.3"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/>
    </row>
    <row r="2" spans="2:15" x14ac:dyDescent="0.3">
      <c r="B2" s="5">
        <v>27</v>
      </c>
      <c r="C2" s="5">
        <v>28.646940985004829</v>
      </c>
      <c r="D2" s="5">
        <f>B2*C2</f>
        <v>773.46740659513034</v>
      </c>
      <c r="E2" s="5">
        <f>POWER(B2, 2)</f>
        <v>729</v>
      </c>
      <c r="F2" s="5">
        <f>$M$8+B2*$M$7</f>
        <v>28.811795164455141</v>
      </c>
      <c r="G2" s="5">
        <f>F2-$M$3</f>
        <v>5.6281189755769034</v>
      </c>
      <c r="H2" s="5">
        <f>POWER(G2,2)</f>
        <v>31.675723203248815</v>
      </c>
      <c r="I2" s="5">
        <f>C2-$M$3</f>
        <v>5.463264796126591</v>
      </c>
      <c r="J2" s="5">
        <f>POWER(I2,2)</f>
        <v>29.847262232596123</v>
      </c>
      <c r="L2" s="6" t="s">
        <v>9</v>
      </c>
      <c r="M2" s="7">
        <f>AVERAGE(B2:B237)</f>
        <v>19.4364406779661</v>
      </c>
    </row>
    <row r="3" spans="2:15" x14ac:dyDescent="0.3">
      <c r="B3" s="5">
        <v>12</v>
      </c>
      <c r="C3" s="5">
        <v>19.943689586227819</v>
      </c>
      <c r="D3" s="5">
        <f t="shared" ref="D3:D66" si="0">B3*C3</f>
        <v>239.32427503473383</v>
      </c>
      <c r="E3" s="5">
        <f t="shared" ref="E3:E66" si="1">POWER(B3, 2)</f>
        <v>144</v>
      </c>
      <c r="F3" s="5">
        <f t="shared" ref="F3:F66" si="2">$M$8+B3*$M$7</f>
        <v>17.650147448184981</v>
      </c>
      <c r="G3" s="5">
        <f t="shared" ref="G3:G66" si="3">F3-$M$3</f>
        <v>-5.5335287406932565</v>
      </c>
      <c r="H3" s="5">
        <f t="shared" ref="H3:H66" si="4">POWER(G3,2)</f>
        <v>30.619940324078296</v>
      </c>
      <c r="I3" s="5">
        <f t="shared" ref="I3:I66" si="5">C3-$M$3</f>
        <v>-3.2399866026504185</v>
      </c>
      <c r="J3" s="5">
        <f t="shared" ref="J3:J66" si="6">POWER(I3,2)</f>
        <v>10.497513185354201</v>
      </c>
      <c r="L3" s="6" t="s">
        <v>10</v>
      </c>
      <c r="M3" s="7">
        <f>AVERAGE(C2:C238)</f>
        <v>23.183676188878238</v>
      </c>
    </row>
    <row r="4" spans="2:15" x14ac:dyDescent="0.3">
      <c r="B4" s="5">
        <v>29</v>
      </c>
      <c r="C4" s="5">
        <v>30.047346492374604</v>
      </c>
      <c r="D4" s="5">
        <f t="shared" si="0"/>
        <v>871.37304827886351</v>
      </c>
      <c r="E4" s="5">
        <f t="shared" si="1"/>
        <v>841</v>
      </c>
      <c r="F4" s="5">
        <f t="shared" si="2"/>
        <v>30.300014859957827</v>
      </c>
      <c r="G4" s="5">
        <f t="shared" si="3"/>
        <v>7.1163386710795891</v>
      </c>
      <c r="H4" s="5">
        <f t="shared" si="4"/>
        <v>50.642276081502814</v>
      </c>
      <c r="I4" s="5">
        <f t="shared" si="5"/>
        <v>6.8636703034963666</v>
      </c>
      <c r="J4" s="5">
        <f t="shared" si="6"/>
        <v>47.109970035097909</v>
      </c>
      <c r="L4" s="6" t="s">
        <v>11</v>
      </c>
      <c r="M4" s="7">
        <f>COUNT(B2:B237)</f>
        <v>236</v>
      </c>
    </row>
    <row r="5" spans="2:15" x14ac:dyDescent="0.3">
      <c r="B5" s="5">
        <v>12</v>
      </c>
      <c r="C5" s="5">
        <v>18.543702591049041</v>
      </c>
      <c r="D5" s="5">
        <f t="shared" si="0"/>
        <v>222.52443109258849</v>
      </c>
      <c r="E5" s="5">
        <f t="shared" si="1"/>
        <v>144</v>
      </c>
      <c r="F5" s="5">
        <f t="shared" si="2"/>
        <v>17.650147448184981</v>
      </c>
      <c r="G5" s="5">
        <f t="shared" si="3"/>
        <v>-5.5335287406932565</v>
      </c>
      <c r="H5" s="5">
        <f t="shared" si="4"/>
        <v>30.619940324078296</v>
      </c>
      <c r="I5" s="5">
        <f t="shared" si="5"/>
        <v>-4.6399735978291972</v>
      </c>
      <c r="J5" s="5">
        <f t="shared" si="6"/>
        <v>21.529354988552026</v>
      </c>
      <c r="L5" s="6" t="s">
        <v>12</v>
      </c>
      <c r="M5" s="7">
        <f>SUM(E2:E237)</f>
        <v>97459</v>
      </c>
    </row>
    <row r="6" spans="2:15" x14ac:dyDescent="0.3">
      <c r="B6" s="5">
        <v>18</v>
      </c>
      <c r="C6" s="5">
        <v>23.324392870969799</v>
      </c>
      <c r="D6" s="5">
        <f t="shared" si="0"/>
        <v>419.83907167745639</v>
      </c>
      <c r="E6" s="5">
        <f t="shared" si="1"/>
        <v>324</v>
      </c>
      <c r="F6" s="5">
        <f t="shared" si="2"/>
        <v>22.114806534693045</v>
      </c>
      <c r="G6" s="5">
        <f t="shared" si="3"/>
        <v>-1.0688696541851925</v>
      </c>
      <c r="H6" s="5">
        <f t="shared" si="4"/>
        <v>1.1424823376379731</v>
      </c>
      <c r="I6" s="5">
        <f t="shared" si="5"/>
        <v>0.1407166820915613</v>
      </c>
      <c r="J6" s="5">
        <f t="shared" si="6"/>
        <v>1.9801184618857527E-2</v>
      </c>
      <c r="L6" s="6" t="s">
        <v>13</v>
      </c>
      <c r="M6" s="7">
        <f xml:space="preserve"> SUM(D2:D237)</f>
        <v>112522.64553719776</v>
      </c>
    </row>
    <row r="7" spans="2:15" x14ac:dyDescent="0.3">
      <c r="B7" s="5">
        <v>24</v>
      </c>
      <c r="C7" s="5">
        <v>24.165811346688795</v>
      </c>
      <c r="D7" s="5">
        <f t="shared" si="0"/>
        <v>579.97947232053104</v>
      </c>
      <c r="E7" s="5">
        <f t="shared" si="1"/>
        <v>576</v>
      </c>
      <c r="F7" s="5">
        <f t="shared" si="2"/>
        <v>26.579465621201109</v>
      </c>
      <c r="G7" s="5">
        <f t="shared" si="3"/>
        <v>3.3957894323228714</v>
      </c>
      <c r="H7" s="5">
        <f t="shared" si="4"/>
        <v>11.53138586867569</v>
      </c>
      <c r="I7" s="5">
        <f t="shared" si="5"/>
        <v>0.98213515781055705</v>
      </c>
      <c r="J7" s="5">
        <f t="shared" si="6"/>
        <v>0.96458946820756775</v>
      </c>
      <c r="L7" s="8" t="s">
        <v>14</v>
      </c>
      <c r="M7" s="7">
        <f>(M6-M4*M2*M3)/(M5-M4*(POWER(M2,2)))</f>
        <v>0.74410984775134392</v>
      </c>
    </row>
    <row r="8" spans="2:15" x14ac:dyDescent="0.3">
      <c r="B8" s="5">
        <v>14</v>
      </c>
      <c r="C8" s="5">
        <v>22.267051860268992</v>
      </c>
      <c r="D8" s="5">
        <f t="shared" si="0"/>
        <v>311.73872604376589</v>
      </c>
      <c r="E8" s="5">
        <f t="shared" si="1"/>
        <v>196</v>
      </c>
      <c r="F8" s="5">
        <f t="shared" si="2"/>
        <v>19.13836714368767</v>
      </c>
      <c r="G8" s="5">
        <f t="shared" si="3"/>
        <v>-4.0453090451905673</v>
      </c>
      <c r="H8" s="5">
        <f t="shared" si="4"/>
        <v>16.364525271100618</v>
      </c>
      <c r="I8" s="5">
        <f t="shared" si="5"/>
        <v>-0.91662432860924525</v>
      </c>
      <c r="J8" s="5">
        <f t="shared" si="6"/>
        <v>0.84020015979834961</v>
      </c>
      <c r="L8" s="8" t="s">
        <v>15</v>
      </c>
      <c r="M8" s="7">
        <f>M3-M7*M2</f>
        <v>8.720829275168855</v>
      </c>
    </row>
    <row r="9" spans="2:15" x14ac:dyDescent="0.3">
      <c r="B9" s="5">
        <v>27</v>
      </c>
      <c r="C9" s="5">
        <v>31.563309432324068</v>
      </c>
      <c r="D9" s="5">
        <f t="shared" si="0"/>
        <v>852.2093546727499</v>
      </c>
      <c r="E9" s="5">
        <f t="shared" si="1"/>
        <v>729</v>
      </c>
      <c r="F9" s="5">
        <f t="shared" si="2"/>
        <v>28.811795164455141</v>
      </c>
      <c r="G9" s="5">
        <f t="shared" si="3"/>
        <v>5.6281189755769034</v>
      </c>
      <c r="H9" s="5">
        <f t="shared" si="4"/>
        <v>31.675723203248815</v>
      </c>
      <c r="I9" s="5">
        <f t="shared" si="5"/>
        <v>8.3796332434458307</v>
      </c>
      <c r="J9" s="5">
        <f t="shared" si="6"/>
        <v>70.218253294662489</v>
      </c>
      <c r="L9" s="9" t="s">
        <v>16</v>
      </c>
      <c r="M9" s="10">
        <f>SUM(H2:H237)/SUM(J2:J237)</f>
        <v>0.83246069581261828</v>
      </c>
    </row>
    <row r="10" spans="2:15" x14ac:dyDescent="0.3">
      <c r="B10" s="5">
        <v>18</v>
      </c>
      <c r="C10" s="5">
        <v>22.83805873797499</v>
      </c>
      <c r="D10" s="5">
        <f t="shared" si="0"/>
        <v>411.08505728354982</v>
      </c>
      <c r="E10" s="5">
        <f t="shared" si="1"/>
        <v>324</v>
      </c>
      <c r="F10" s="5">
        <f t="shared" si="2"/>
        <v>22.114806534693045</v>
      </c>
      <c r="G10" s="5">
        <f t="shared" si="3"/>
        <v>-1.0688696541851925</v>
      </c>
      <c r="H10" s="5">
        <f t="shared" si="4"/>
        <v>1.1424823376379731</v>
      </c>
      <c r="I10" s="5">
        <f t="shared" si="5"/>
        <v>-0.34561745090324791</v>
      </c>
      <c r="J10" s="5">
        <f t="shared" si="6"/>
        <v>0.11945142236885899</v>
      </c>
    </row>
    <row r="11" spans="2:15" x14ac:dyDescent="0.3">
      <c r="B11" s="5">
        <v>24</v>
      </c>
      <c r="C11" s="5">
        <v>26.428093738764886</v>
      </c>
      <c r="D11" s="5">
        <f t="shared" si="0"/>
        <v>634.27424973035727</v>
      </c>
      <c r="E11" s="5">
        <f t="shared" si="1"/>
        <v>576</v>
      </c>
      <c r="F11" s="5">
        <f t="shared" si="2"/>
        <v>26.579465621201109</v>
      </c>
      <c r="G11" s="5">
        <f t="shared" si="3"/>
        <v>3.3957894323228714</v>
      </c>
      <c r="H11" s="5">
        <f t="shared" si="4"/>
        <v>11.53138586867569</v>
      </c>
      <c r="I11" s="5">
        <f t="shared" si="5"/>
        <v>3.2444175498866485</v>
      </c>
      <c r="J11" s="5">
        <f t="shared" si="6"/>
        <v>10.526245238012484</v>
      </c>
    </row>
    <row r="12" spans="2:15" x14ac:dyDescent="0.3">
      <c r="B12" s="5">
        <v>10</v>
      </c>
      <c r="C12" s="5">
        <v>19.067972104942701</v>
      </c>
      <c r="D12" s="5">
        <f t="shared" si="0"/>
        <v>190.679721049427</v>
      </c>
      <c r="E12" s="5">
        <f t="shared" si="1"/>
        <v>100</v>
      </c>
      <c r="F12" s="5">
        <f t="shared" si="2"/>
        <v>16.161927752682296</v>
      </c>
      <c r="G12" s="5">
        <f t="shared" si="3"/>
        <v>-7.0217484361959421</v>
      </c>
      <c r="H12" s="5">
        <f t="shared" si="4"/>
        <v>49.304951101220162</v>
      </c>
      <c r="I12" s="5">
        <f t="shared" si="5"/>
        <v>-4.1157040839355368</v>
      </c>
      <c r="J12" s="5">
        <f t="shared" si="6"/>
        <v>16.939020106523657</v>
      </c>
    </row>
    <row r="13" spans="2:15" x14ac:dyDescent="0.3">
      <c r="B13" s="5">
        <v>19</v>
      </c>
      <c r="C13" s="5">
        <v>19.625244021881024</v>
      </c>
      <c r="D13" s="5">
        <f t="shared" si="0"/>
        <v>372.87963641573947</v>
      </c>
      <c r="E13" s="5">
        <f t="shared" si="1"/>
        <v>361</v>
      </c>
      <c r="F13" s="5">
        <f t="shared" si="2"/>
        <v>22.858916382444392</v>
      </c>
      <c r="G13" s="5">
        <f t="shared" si="3"/>
        <v>-0.32475980643384617</v>
      </c>
      <c r="H13" s="5">
        <f t="shared" si="4"/>
        <v>0.10546893187494923</v>
      </c>
      <c r="I13" s="5">
        <f t="shared" si="5"/>
        <v>-3.5584321669972141</v>
      </c>
      <c r="J13" s="5">
        <f t="shared" si="6"/>
        <v>12.662439487120489</v>
      </c>
      <c r="O13">
        <v>1</v>
      </c>
    </row>
    <row r="14" spans="2:15" x14ac:dyDescent="0.3">
      <c r="B14" s="5">
        <v>29</v>
      </c>
      <c r="C14" s="5">
        <v>32.296864995158288</v>
      </c>
      <c r="D14" s="5">
        <f t="shared" si="0"/>
        <v>936.60908485959033</v>
      </c>
      <c r="E14" s="5">
        <f t="shared" si="1"/>
        <v>841</v>
      </c>
      <c r="F14" s="5">
        <f t="shared" si="2"/>
        <v>30.300014859957827</v>
      </c>
      <c r="G14" s="5">
        <f t="shared" si="3"/>
        <v>7.1163386710795891</v>
      </c>
      <c r="H14" s="5">
        <f t="shared" si="4"/>
        <v>50.642276081502814</v>
      </c>
      <c r="I14" s="5">
        <f t="shared" si="5"/>
        <v>9.1131888062800499</v>
      </c>
      <c r="J14" s="5">
        <f t="shared" si="6"/>
        <v>83.050210218908006</v>
      </c>
    </row>
    <row r="15" spans="2:15" x14ac:dyDescent="0.3">
      <c r="B15" s="5">
        <v>16</v>
      </c>
      <c r="C15" s="5">
        <v>19.709385818953251</v>
      </c>
      <c r="D15" s="5">
        <f t="shared" si="0"/>
        <v>315.35017310325202</v>
      </c>
      <c r="E15" s="5">
        <f t="shared" si="1"/>
        <v>256</v>
      </c>
      <c r="F15" s="5">
        <f t="shared" si="2"/>
        <v>20.62658683919036</v>
      </c>
      <c r="G15" s="5">
        <f t="shared" si="3"/>
        <v>-2.5570893496878782</v>
      </c>
      <c r="H15" s="5">
        <f t="shared" si="4"/>
        <v>6.5387059422871756</v>
      </c>
      <c r="I15" s="5">
        <f t="shared" si="5"/>
        <v>-3.4742903699249865</v>
      </c>
      <c r="J15" s="5">
        <f t="shared" si="6"/>
        <v>12.0706935745535</v>
      </c>
    </row>
    <row r="16" spans="2:15" x14ac:dyDescent="0.3">
      <c r="B16" s="5">
        <v>20</v>
      </c>
      <c r="C16" s="5">
        <v>23.777912869900639</v>
      </c>
      <c r="D16" s="5">
        <f t="shared" si="0"/>
        <v>475.55825739801276</v>
      </c>
      <c r="E16" s="5">
        <f t="shared" si="1"/>
        <v>400</v>
      </c>
      <c r="F16" s="5">
        <f t="shared" si="2"/>
        <v>23.603026230195731</v>
      </c>
      <c r="G16" s="5">
        <f t="shared" si="3"/>
        <v>0.41935004131749309</v>
      </c>
      <c r="H16" s="5">
        <f t="shared" si="4"/>
        <v>0.17585445715298317</v>
      </c>
      <c r="I16" s="5">
        <f t="shared" si="5"/>
        <v>0.59423668102240157</v>
      </c>
      <c r="J16" s="5">
        <f t="shared" si="6"/>
        <v>0.35311723307251941</v>
      </c>
    </row>
    <row r="17" spans="2:10" x14ac:dyDescent="0.3">
      <c r="B17" s="5">
        <v>11</v>
      </c>
      <c r="C17" s="5">
        <v>17.321880298263988</v>
      </c>
      <c r="D17" s="5">
        <f t="shared" si="0"/>
        <v>190.54068328090386</v>
      </c>
      <c r="E17" s="5">
        <f t="shared" si="1"/>
        <v>121</v>
      </c>
      <c r="F17" s="5">
        <f t="shared" si="2"/>
        <v>16.906037600433638</v>
      </c>
      <c r="G17" s="5">
        <f t="shared" si="3"/>
        <v>-6.2776385884445993</v>
      </c>
      <c r="H17" s="5">
        <f t="shared" si="4"/>
        <v>39.408746247128704</v>
      </c>
      <c r="I17" s="5">
        <f t="shared" si="5"/>
        <v>-5.8617958906142498</v>
      </c>
      <c r="J17" s="5">
        <f t="shared" si="6"/>
        <v>34.360651063222107</v>
      </c>
    </row>
    <row r="18" spans="2:10" x14ac:dyDescent="0.3">
      <c r="B18" s="5">
        <v>22</v>
      </c>
      <c r="C18" s="5">
        <v>24.790607240700037</v>
      </c>
      <c r="D18" s="5">
        <f t="shared" si="0"/>
        <v>545.39335929540084</v>
      </c>
      <c r="E18" s="5">
        <f t="shared" si="1"/>
        <v>484</v>
      </c>
      <c r="F18" s="5">
        <f t="shared" si="2"/>
        <v>25.091245925698423</v>
      </c>
      <c r="G18" s="5">
        <f t="shared" si="3"/>
        <v>1.9075697368201858</v>
      </c>
      <c r="H18" s="5">
        <f t="shared" si="4"/>
        <v>3.6388223008322331</v>
      </c>
      <c r="I18" s="5">
        <f t="shared" si="5"/>
        <v>1.6069310518217996</v>
      </c>
      <c r="J18" s="5">
        <f t="shared" si="6"/>
        <v>2.5822274053091152</v>
      </c>
    </row>
    <row r="19" spans="2:10" x14ac:dyDescent="0.3">
      <c r="B19" s="5">
        <v>12</v>
      </c>
      <c r="C19" s="5">
        <v>17.100763032414868</v>
      </c>
      <c r="D19" s="5">
        <f t="shared" si="0"/>
        <v>205.20915638897841</v>
      </c>
      <c r="E19" s="5">
        <f t="shared" si="1"/>
        <v>144</v>
      </c>
      <c r="F19" s="5">
        <f t="shared" si="2"/>
        <v>17.650147448184981</v>
      </c>
      <c r="G19" s="5">
        <f t="shared" si="3"/>
        <v>-5.5335287406932565</v>
      </c>
      <c r="H19" s="5">
        <f t="shared" si="4"/>
        <v>30.619940324078296</v>
      </c>
      <c r="I19" s="5">
        <f t="shared" si="5"/>
        <v>-6.0829131564633698</v>
      </c>
      <c r="J19" s="5">
        <f t="shared" si="6"/>
        <v>37.001832469075154</v>
      </c>
    </row>
    <row r="20" spans="2:10" x14ac:dyDescent="0.3">
      <c r="B20" s="5">
        <v>29</v>
      </c>
      <c r="C20" s="5">
        <v>29.784723663511372</v>
      </c>
      <c r="D20" s="5">
        <f t="shared" si="0"/>
        <v>863.75698624182974</v>
      </c>
      <c r="E20" s="5">
        <f t="shared" si="1"/>
        <v>841</v>
      </c>
      <c r="F20" s="5">
        <f t="shared" si="2"/>
        <v>30.300014859957827</v>
      </c>
      <c r="G20" s="5">
        <f t="shared" si="3"/>
        <v>7.1163386710795891</v>
      </c>
      <c r="H20" s="5">
        <f t="shared" si="4"/>
        <v>50.642276081502814</v>
      </c>
      <c r="I20" s="5">
        <f t="shared" si="5"/>
        <v>6.601047474633134</v>
      </c>
      <c r="J20" s="5">
        <f t="shared" si="6"/>
        <v>43.573827762360473</v>
      </c>
    </row>
    <row r="21" spans="2:10" x14ac:dyDescent="0.3">
      <c r="B21" s="5">
        <v>30</v>
      </c>
      <c r="C21" s="5">
        <v>32.596883719811728</v>
      </c>
      <c r="D21" s="5">
        <f t="shared" si="0"/>
        <v>977.90651159435185</v>
      </c>
      <c r="E21" s="5">
        <f t="shared" si="1"/>
        <v>900</v>
      </c>
      <c r="F21" s="5">
        <f t="shared" si="2"/>
        <v>31.044124707709173</v>
      </c>
      <c r="G21" s="5">
        <f t="shared" si="3"/>
        <v>7.8604485188309354</v>
      </c>
      <c r="H21" s="5">
        <f t="shared" si="4"/>
        <v>61.786650917191444</v>
      </c>
      <c r="I21" s="5">
        <f t="shared" si="5"/>
        <v>9.4132075309334908</v>
      </c>
      <c r="J21" s="5">
        <f t="shared" si="6"/>
        <v>88.608476020422984</v>
      </c>
    </row>
    <row r="22" spans="2:10" x14ac:dyDescent="0.3">
      <c r="B22" s="5">
        <v>29</v>
      </c>
      <c r="C22" s="5">
        <v>33.301570714283145</v>
      </c>
      <c r="D22" s="5">
        <f t="shared" si="0"/>
        <v>965.74555071421116</v>
      </c>
      <c r="E22" s="5">
        <f t="shared" si="1"/>
        <v>841</v>
      </c>
      <c r="F22" s="5">
        <f t="shared" si="2"/>
        <v>30.300014859957827</v>
      </c>
      <c r="G22" s="5">
        <f t="shared" si="3"/>
        <v>7.1163386710795891</v>
      </c>
      <c r="H22" s="5">
        <f t="shared" si="4"/>
        <v>50.642276081502814</v>
      </c>
      <c r="I22" s="5">
        <f t="shared" si="5"/>
        <v>10.117894525404907</v>
      </c>
      <c r="J22" s="5">
        <f t="shared" si="6"/>
        <v>102.37178962721859</v>
      </c>
    </row>
    <row r="23" spans="2:10" x14ac:dyDescent="0.3">
      <c r="B23" s="5">
        <v>29</v>
      </c>
      <c r="C23" s="5">
        <v>32.412175848048697</v>
      </c>
      <c r="D23" s="5">
        <f t="shared" si="0"/>
        <v>939.95309959341228</v>
      </c>
      <c r="E23" s="5">
        <f t="shared" si="1"/>
        <v>841</v>
      </c>
      <c r="F23" s="5">
        <f t="shared" si="2"/>
        <v>30.300014859957827</v>
      </c>
      <c r="G23" s="5">
        <f t="shared" si="3"/>
        <v>7.1163386710795891</v>
      </c>
      <c r="H23" s="5">
        <f t="shared" si="4"/>
        <v>50.642276081502814</v>
      </c>
      <c r="I23" s="5">
        <f t="shared" si="5"/>
        <v>9.2284996591704598</v>
      </c>
      <c r="J23" s="5">
        <f t="shared" si="6"/>
        <v>85.16520595930929</v>
      </c>
    </row>
    <row r="24" spans="2:10" x14ac:dyDescent="0.3">
      <c r="B24" s="5">
        <v>13</v>
      </c>
      <c r="C24" s="5">
        <v>19.507140545742423</v>
      </c>
      <c r="D24" s="5">
        <f t="shared" si="0"/>
        <v>253.59282709465151</v>
      </c>
      <c r="E24" s="5">
        <f t="shared" si="1"/>
        <v>169</v>
      </c>
      <c r="F24" s="5">
        <f t="shared" si="2"/>
        <v>18.394257295936328</v>
      </c>
      <c r="G24" s="5">
        <f t="shared" si="3"/>
        <v>-4.7894188929419101</v>
      </c>
      <c r="H24" s="5">
        <f t="shared" si="4"/>
        <v>22.938533332068911</v>
      </c>
      <c r="I24" s="5">
        <f t="shared" si="5"/>
        <v>-3.6765356431358143</v>
      </c>
      <c r="J24" s="5">
        <f t="shared" si="6"/>
        <v>13.516914335248076</v>
      </c>
    </row>
    <row r="25" spans="2:10" x14ac:dyDescent="0.3">
      <c r="B25" s="5">
        <v>21</v>
      </c>
      <c r="C25" s="5">
        <v>24.975039442808967</v>
      </c>
      <c r="D25" s="5">
        <f t="shared" si="0"/>
        <v>524.47582829898829</v>
      </c>
      <c r="E25" s="5">
        <f t="shared" si="1"/>
        <v>441</v>
      </c>
      <c r="F25" s="5">
        <f t="shared" si="2"/>
        <v>24.347136077947077</v>
      </c>
      <c r="G25" s="5">
        <f t="shared" si="3"/>
        <v>1.1634598890688395</v>
      </c>
      <c r="H25" s="5">
        <f t="shared" si="4"/>
        <v>1.3536389134720763</v>
      </c>
      <c r="I25" s="5">
        <f t="shared" si="5"/>
        <v>1.7913632539307294</v>
      </c>
      <c r="J25" s="5">
        <f t="shared" si="6"/>
        <v>3.2089823075332906</v>
      </c>
    </row>
    <row r="26" spans="2:10" x14ac:dyDescent="0.3">
      <c r="B26" s="5">
        <v>21</v>
      </c>
      <c r="C26" s="5">
        <v>24.836224434630527</v>
      </c>
      <c r="D26" s="5">
        <f t="shared" si="0"/>
        <v>521.56071312724112</v>
      </c>
      <c r="E26" s="5">
        <f t="shared" si="1"/>
        <v>441</v>
      </c>
      <c r="F26" s="5">
        <f t="shared" si="2"/>
        <v>24.347136077947077</v>
      </c>
      <c r="G26" s="5">
        <f t="shared" si="3"/>
        <v>1.1634598890688395</v>
      </c>
      <c r="H26" s="5">
        <f t="shared" si="4"/>
        <v>1.3536389134720763</v>
      </c>
      <c r="I26" s="5">
        <f t="shared" si="5"/>
        <v>1.6525482457522891</v>
      </c>
      <c r="J26" s="5">
        <f t="shared" si="6"/>
        <v>2.730915704538968</v>
      </c>
    </row>
    <row r="27" spans="2:10" x14ac:dyDescent="0.3">
      <c r="B27" s="5">
        <v>11</v>
      </c>
      <c r="C27" s="5">
        <v>15.280845779116644</v>
      </c>
      <c r="D27" s="5">
        <f t="shared" si="0"/>
        <v>168.08930357028308</v>
      </c>
      <c r="E27" s="5">
        <f t="shared" si="1"/>
        <v>121</v>
      </c>
      <c r="F27" s="5">
        <f t="shared" si="2"/>
        <v>16.906037600433638</v>
      </c>
      <c r="G27" s="5">
        <f t="shared" si="3"/>
        <v>-6.2776385884445993</v>
      </c>
      <c r="H27" s="5">
        <f t="shared" si="4"/>
        <v>39.408746247128704</v>
      </c>
      <c r="I27" s="5">
        <f t="shared" si="5"/>
        <v>-7.9028304097615933</v>
      </c>
      <c r="J27" s="5">
        <f t="shared" si="6"/>
        <v>62.454728485452591</v>
      </c>
    </row>
    <row r="28" spans="2:10" x14ac:dyDescent="0.3">
      <c r="B28" s="5">
        <v>24</v>
      </c>
      <c r="C28" s="5">
        <v>24.762195058548347</v>
      </c>
      <c r="D28" s="5">
        <f t="shared" si="0"/>
        <v>594.29268140516035</v>
      </c>
      <c r="E28" s="5">
        <f t="shared" si="1"/>
        <v>576</v>
      </c>
      <c r="F28" s="5">
        <f t="shared" si="2"/>
        <v>26.579465621201109</v>
      </c>
      <c r="G28" s="5">
        <f t="shared" si="3"/>
        <v>3.3957894323228714</v>
      </c>
      <c r="H28" s="5">
        <f t="shared" si="4"/>
        <v>11.53138586867569</v>
      </c>
      <c r="I28" s="5">
        <f t="shared" si="5"/>
        <v>1.5785188696701091</v>
      </c>
      <c r="J28" s="5">
        <f t="shared" si="6"/>
        <v>2.4917218219045991</v>
      </c>
    </row>
    <row r="29" spans="2:10" x14ac:dyDescent="0.3">
      <c r="B29" s="5">
        <v>16</v>
      </c>
      <c r="C29" s="5">
        <v>19.368393958409953</v>
      </c>
      <c r="D29" s="5">
        <f t="shared" si="0"/>
        <v>309.89430333455925</v>
      </c>
      <c r="E29" s="5">
        <f t="shared" si="1"/>
        <v>256</v>
      </c>
      <c r="F29" s="5">
        <f t="shared" si="2"/>
        <v>20.62658683919036</v>
      </c>
      <c r="G29" s="5">
        <f t="shared" si="3"/>
        <v>-2.5570893496878782</v>
      </c>
      <c r="H29" s="5">
        <f t="shared" si="4"/>
        <v>6.5387059422871756</v>
      </c>
      <c r="I29" s="5">
        <f t="shared" si="5"/>
        <v>-3.8152822304682843</v>
      </c>
      <c r="J29" s="5">
        <f t="shared" si="6"/>
        <v>14.556378498127046</v>
      </c>
    </row>
    <row r="30" spans="2:10" x14ac:dyDescent="0.3">
      <c r="B30" s="5">
        <v>26</v>
      </c>
      <c r="C30" s="5">
        <v>27.725300871920279</v>
      </c>
      <c r="D30" s="5">
        <f t="shared" si="0"/>
        <v>720.85782266992726</v>
      </c>
      <c r="E30" s="5">
        <f t="shared" si="1"/>
        <v>676</v>
      </c>
      <c r="F30" s="5">
        <f t="shared" si="2"/>
        <v>28.067685316703795</v>
      </c>
      <c r="G30" s="5">
        <f t="shared" si="3"/>
        <v>4.8840091278255571</v>
      </c>
      <c r="H30" s="5">
        <f t="shared" si="4"/>
        <v>23.85354516068336</v>
      </c>
      <c r="I30" s="5">
        <f t="shared" si="5"/>
        <v>4.5416246830420413</v>
      </c>
      <c r="J30" s="5">
        <f t="shared" si="6"/>
        <v>20.626354761616721</v>
      </c>
    </row>
    <row r="31" spans="2:10" x14ac:dyDescent="0.3">
      <c r="B31" s="5">
        <v>18</v>
      </c>
      <c r="C31" s="5">
        <v>22.800172864993719</v>
      </c>
      <c r="D31" s="5">
        <f t="shared" si="0"/>
        <v>410.40311156988696</v>
      </c>
      <c r="E31" s="5">
        <f t="shared" si="1"/>
        <v>324</v>
      </c>
      <c r="F31" s="5">
        <f t="shared" si="2"/>
        <v>22.114806534693045</v>
      </c>
      <c r="G31" s="5">
        <f t="shared" si="3"/>
        <v>-1.0688696541851925</v>
      </c>
      <c r="H31" s="5">
        <f t="shared" si="4"/>
        <v>1.1424823376379731</v>
      </c>
      <c r="I31" s="5">
        <f t="shared" si="5"/>
        <v>-0.38350332388451847</v>
      </c>
      <c r="J31" s="5">
        <f t="shared" si="6"/>
        <v>0.14707479943047388</v>
      </c>
    </row>
    <row r="32" spans="2:10" x14ac:dyDescent="0.3">
      <c r="B32" s="5">
        <v>19</v>
      </c>
      <c r="C32" s="5">
        <v>21.180004270211825</v>
      </c>
      <c r="D32" s="5">
        <f t="shared" si="0"/>
        <v>402.42008113402466</v>
      </c>
      <c r="E32" s="5">
        <f t="shared" si="1"/>
        <v>361</v>
      </c>
      <c r="F32" s="5">
        <f t="shared" si="2"/>
        <v>22.858916382444392</v>
      </c>
      <c r="G32" s="5">
        <f t="shared" si="3"/>
        <v>-0.32475980643384617</v>
      </c>
      <c r="H32" s="5">
        <f t="shared" si="4"/>
        <v>0.10546893187494923</v>
      </c>
      <c r="I32" s="5">
        <f t="shared" si="5"/>
        <v>-2.0036719186664129</v>
      </c>
      <c r="J32" s="5">
        <f t="shared" si="6"/>
        <v>4.0147011576523441</v>
      </c>
    </row>
    <row r="33" spans="2:10" x14ac:dyDescent="0.3">
      <c r="B33" s="5">
        <v>10</v>
      </c>
      <c r="C33" s="5">
        <v>19.075799371847751</v>
      </c>
      <c r="D33" s="5">
        <f t="shared" si="0"/>
        <v>190.75799371847751</v>
      </c>
      <c r="E33" s="5">
        <f t="shared" si="1"/>
        <v>100</v>
      </c>
      <c r="F33" s="5">
        <f t="shared" si="2"/>
        <v>16.161927752682296</v>
      </c>
      <c r="G33" s="5">
        <f t="shared" si="3"/>
        <v>-7.0217484361959421</v>
      </c>
      <c r="H33" s="5">
        <f t="shared" si="4"/>
        <v>49.304951101220162</v>
      </c>
      <c r="I33" s="5">
        <f t="shared" si="5"/>
        <v>-4.1078768170304869</v>
      </c>
      <c r="J33" s="5">
        <f t="shared" si="6"/>
        <v>16.874651943896524</v>
      </c>
    </row>
    <row r="34" spans="2:10" x14ac:dyDescent="0.3">
      <c r="B34" s="5">
        <v>11</v>
      </c>
      <c r="C34" s="5">
        <v>15.155163367655865</v>
      </c>
      <c r="D34" s="5">
        <f t="shared" si="0"/>
        <v>166.70679704421451</v>
      </c>
      <c r="E34" s="5">
        <f t="shared" si="1"/>
        <v>121</v>
      </c>
      <c r="F34" s="5">
        <f t="shared" si="2"/>
        <v>16.906037600433638</v>
      </c>
      <c r="G34" s="5">
        <f t="shared" si="3"/>
        <v>-6.2776385884445993</v>
      </c>
      <c r="H34" s="5">
        <f t="shared" si="4"/>
        <v>39.408746247128704</v>
      </c>
      <c r="I34" s="5">
        <f t="shared" si="5"/>
        <v>-8.0285128212223729</v>
      </c>
      <c r="J34" s="5">
        <f t="shared" si="6"/>
        <v>64.457018120532027</v>
      </c>
    </row>
    <row r="35" spans="2:10" x14ac:dyDescent="0.3">
      <c r="B35" s="5">
        <v>15</v>
      </c>
      <c r="C35" s="5">
        <v>22.178498224185361</v>
      </c>
      <c r="D35" s="5">
        <f t="shared" si="0"/>
        <v>332.6774733627804</v>
      </c>
      <c r="E35" s="5">
        <f t="shared" si="1"/>
        <v>225</v>
      </c>
      <c r="F35" s="5">
        <f t="shared" si="2"/>
        <v>19.882476991439013</v>
      </c>
      <c r="G35" s="5">
        <f t="shared" si="3"/>
        <v>-3.3011991974392245</v>
      </c>
      <c r="H35" s="5">
        <f t="shared" si="4"/>
        <v>10.897916141173381</v>
      </c>
      <c r="I35" s="5">
        <f t="shared" si="5"/>
        <v>-1.0051779646928765</v>
      </c>
      <c r="J35" s="5">
        <f t="shared" si="6"/>
        <v>1.0103827407041135</v>
      </c>
    </row>
    <row r="36" spans="2:10" x14ac:dyDescent="0.3">
      <c r="B36" s="5">
        <v>12</v>
      </c>
      <c r="C36" s="5">
        <v>16.087729426656107</v>
      </c>
      <c r="D36" s="5">
        <f t="shared" si="0"/>
        <v>193.05275311987327</v>
      </c>
      <c r="E36" s="5">
        <f t="shared" si="1"/>
        <v>144</v>
      </c>
      <c r="F36" s="5">
        <f t="shared" si="2"/>
        <v>17.650147448184981</v>
      </c>
      <c r="G36" s="5">
        <f t="shared" si="3"/>
        <v>-5.5335287406932565</v>
      </c>
      <c r="H36" s="5">
        <f t="shared" si="4"/>
        <v>30.619940324078296</v>
      </c>
      <c r="I36" s="5">
        <f t="shared" si="5"/>
        <v>-7.0959467622221304</v>
      </c>
      <c r="J36" s="5">
        <f t="shared" si="6"/>
        <v>50.352460452290735</v>
      </c>
    </row>
    <row r="37" spans="2:10" x14ac:dyDescent="0.3">
      <c r="B37" s="5">
        <v>11</v>
      </c>
      <c r="C37" s="5">
        <v>17.684092313936844</v>
      </c>
      <c r="D37" s="5">
        <f t="shared" si="0"/>
        <v>194.52501545330529</v>
      </c>
      <c r="E37" s="5">
        <f t="shared" si="1"/>
        <v>121</v>
      </c>
      <c r="F37" s="5">
        <f t="shared" si="2"/>
        <v>16.906037600433638</v>
      </c>
      <c r="G37" s="5">
        <f t="shared" si="3"/>
        <v>-6.2776385884445993</v>
      </c>
      <c r="H37" s="5">
        <f t="shared" si="4"/>
        <v>39.408746247128704</v>
      </c>
      <c r="I37" s="5">
        <f t="shared" si="5"/>
        <v>-5.4995838749413934</v>
      </c>
      <c r="J37" s="5">
        <f t="shared" si="6"/>
        <v>30.245422797515392</v>
      </c>
    </row>
    <row r="38" spans="2:10" x14ac:dyDescent="0.3">
      <c r="B38" s="5">
        <v>25</v>
      </c>
      <c r="C38" s="5">
        <v>28.363664277210439</v>
      </c>
      <c r="D38" s="5">
        <f t="shared" si="0"/>
        <v>709.09160693026104</v>
      </c>
      <c r="E38" s="5">
        <f t="shared" si="1"/>
        <v>625</v>
      </c>
      <c r="F38" s="5">
        <f t="shared" si="2"/>
        <v>27.323575468952455</v>
      </c>
      <c r="G38" s="5">
        <f t="shared" si="3"/>
        <v>4.1398992800742178</v>
      </c>
      <c r="H38" s="5">
        <f t="shared" si="4"/>
        <v>17.138766049159027</v>
      </c>
      <c r="I38" s="5">
        <f t="shared" si="5"/>
        <v>5.1799880883322018</v>
      </c>
      <c r="J38" s="5">
        <f t="shared" si="6"/>
        <v>26.832276595263497</v>
      </c>
    </row>
    <row r="39" spans="2:10" x14ac:dyDescent="0.3">
      <c r="B39" s="5">
        <v>13</v>
      </c>
      <c r="C39" s="5">
        <v>15.157878233331834</v>
      </c>
      <c r="D39" s="5">
        <f t="shared" si="0"/>
        <v>197.05241703331384</v>
      </c>
      <c r="E39" s="5">
        <f t="shared" si="1"/>
        <v>169</v>
      </c>
      <c r="F39" s="5">
        <f t="shared" si="2"/>
        <v>18.394257295936328</v>
      </c>
      <c r="G39" s="5">
        <f t="shared" si="3"/>
        <v>-4.7894188929419101</v>
      </c>
      <c r="H39" s="5">
        <f t="shared" si="4"/>
        <v>22.938533332068911</v>
      </c>
      <c r="I39" s="5">
        <f t="shared" si="5"/>
        <v>-8.0257979555464036</v>
      </c>
      <c r="J39" s="5">
        <f t="shared" si="6"/>
        <v>64.413432823252833</v>
      </c>
    </row>
    <row r="40" spans="2:10" x14ac:dyDescent="0.3">
      <c r="B40" s="5">
        <v>29</v>
      </c>
      <c r="C40" s="5">
        <v>30.257531188811789</v>
      </c>
      <c r="D40" s="5">
        <f t="shared" si="0"/>
        <v>877.46840447554189</v>
      </c>
      <c r="E40" s="5">
        <f t="shared" si="1"/>
        <v>841</v>
      </c>
      <c r="F40" s="5">
        <f t="shared" si="2"/>
        <v>30.300014859957827</v>
      </c>
      <c r="G40" s="5">
        <f t="shared" si="3"/>
        <v>7.1163386710795891</v>
      </c>
      <c r="H40" s="5">
        <f t="shared" si="4"/>
        <v>50.642276081502814</v>
      </c>
      <c r="I40" s="5">
        <f t="shared" si="5"/>
        <v>7.0738549999335518</v>
      </c>
      <c r="J40" s="5">
        <f t="shared" si="6"/>
        <v>50.03942456008491</v>
      </c>
    </row>
    <row r="41" spans="2:10" x14ac:dyDescent="0.3">
      <c r="B41" s="5">
        <v>13</v>
      </c>
      <c r="C41" s="5">
        <v>15.248483724236186</v>
      </c>
      <c r="D41" s="5">
        <f t="shared" si="0"/>
        <v>198.23028841507042</v>
      </c>
      <c r="E41" s="5">
        <f t="shared" si="1"/>
        <v>169</v>
      </c>
      <c r="F41" s="5">
        <f t="shared" si="2"/>
        <v>18.394257295936328</v>
      </c>
      <c r="G41" s="5">
        <f t="shared" si="3"/>
        <v>-4.7894188929419101</v>
      </c>
      <c r="H41" s="5">
        <f t="shared" si="4"/>
        <v>22.938533332068911</v>
      </c>
      <c r="I41" s="5">
        <f t="shared" si="5"/>
        <v>-7.9351924646420517</v>
      </c>
      <c r="J41" s="5">
        <f t="shared" si="6"/>
        <v>62.967279450912002</v>
      </c>
    </row>
    <row r="42" spans="2:10" x14ac:dyDescent="0.3">
      <c r="B42" s="5">
        <v>11</v>
      </c>
      <c r="C42" s="5">
        <v>17.280222681053868</v>
      </c>
      <c r="D42" s="5">
        <f t="shared" si="0"/>
        <v>190.08244949159254</v>
      </c>
      <c r="E42" s="5">
        <f t="shared" si="1"/>
        <v>121</v>
      </c>
      <c r="F42" s="5">
        <f t="shared" si="2"/>
        <v>16.906037600433638</v>
      </c>
      <c r="G42" s="5">
        <f t="shared" si="3"/>
        <v>-6.2776385884445993</v>
      </c>
      <c r="H42" s="5">
        <f t="shared" si="4"/>
        <v>39.408746247128704</v>
      </c>
      <c r="I42" s="5">
        <f t="shared" si="5"/>
        <v>-5.90345350782437</v>
      </c>
      <c r="J42" s="5">
        <f t="shared" si="6"/>
        <v>34.850763319043857</v>
      </c>
    </row>
    <row r="43" spans="2:10" x14ac:dyDescent="0.3">
      <c r="B43" s="5">
        <v>12</v>
      </c>
      <c r="C43" s="5">
        <v>15.214404829207131</v>
      </c>
      <c r="D43" s="5">
        <f t="shared" si="0"/>
        <v>182.57285795048557</v>
      </c>
      <c r="E43" s="5">
        <f t="shared" si="1"/>
        <v>144</v>
      </c>
      <c r="F43" s="5">
        <f t="shared" si="2"/>
        <v>17.650147448184981</v>
      </c>
      <c r="G43" s="5">
        <f t="shared" si="3"/>
        <v>-5.5335287406932565</v>
      </c>
      <c r="H43" s="5">
        <f t="shared" si="4"/>
        <v>30.619940324078296</v>
      </c>
      <c r="I43" s="5">
        <f t="shared" si="5"/>
        <v>-7.9692713596711062</v>
      </c>
      <c r="J43" s="5">
        <f t="shared" si="6"/>
        <v>63.509286004074163</v>
      </c>
    </row>
    <row r="44" spans="2:10" x14ac:dyDescent="0.3">
      <c r="B44" s="5">
        <v>19</v>
      </c>
      <c r="C44" s="5">
        <v>21.212105060632901</v>
      </c>
      <c r="D44" s="5">
        <f t="shared" si="0"/>
        <v>403.02999615202509</v>
      </c>
      <c r="E44" s="5">
        <f t="shared" si="1"/>
        <v>361</v>
      </c>
      <c r="F44" s="5">
        <f t="shared" si="2"/>
        <v>22.858916382444392</v>
      </c>
      <c r="G44" s="5">
        <f t="shared" si="3"/>
        <v>-0.32475980643384617</v>
      </c>
      <c r="H44" s="5">
        <f t="shared" si="4"/>
        <v>0.10546893187494923</v>
      </c>
      <c r="I44" s="5">
        <f t="shared" si="5"/>
        <v>-1.971571128245337</v>
      </c>
      <c r="J44" s="5">
        <f t="shared" si="6"/>
        <v>3.8870927137305911</v>
      </c>
    </row>
    <row r="45" spans="2:10" x14ac:dyDescent="0.3">
      <c r="B45" s="5">
        <v>10</v>
      </c>
      <c r="C45" s="5">
        <v>13.873444206607338</v>
      </c>
      <c r="D45" s="5">
        <f t="shared" si="0"/>
        <v>138.73444206607337</v>
      </c>
      <c r="E45" s="5">
        <f t="shared" si="1"/>
        <v>100</v>
      </c>
      <c r="F45" s="5">
        <f t="shared" si="2"/>
        <v>16.161927752682296</v>
      </c>
      <c r="G45" s="5">
        <f t="shared" si="3"/>
        <v>-7.0217484361959421</v>
      </c>
      <c r="H45" s="5">
        <f t="shared" si="4"/>
        <v>49.304951101220162</v>
      </c>
      <c r="I45" s="5">
        <f t="shared" si="5"/>
        <v>-9.3102319822708992</v>
      </c>
      <c r="J45" s="5">
        <f t="shared" si="6"/>
        <v>86.680419563699914</v>
      </c>
    </row>
    <row r="46" spans="2:10" x14ac:dyDescent="0.3">
      <c r="B46" s="5">
        <v>28</v>
      </c>
      <c r="C46" s="5">
        <v>32.656852045332258</v>
      </c>
      <c r="D46" s="5">
        <f t="shared" si="0"/>
        <v>914.39185726930327</v>
      </c>
      <c r="E46" s="5">
        <f t="shared" si="1"/>
        <v>784</v>
      </c>
      <c r="F46" s="5">
        <f t="shared" si="2"/>
        <v>29.555905012206487</v>
      </c>
      <c r="G46" s="5">
        <f t="shared" si="3"/>
        <v>6.3722288233282498</v>
      </c>
      <c r="H46" s="5">
        <f t="shared" si="4"/>
        <v>40.60530017685533</v>
      </c>
      <c r="I46" s="5">
        <f t="shared" si="5"/>
        <v>9.47317585645402</v>
      </c>
      <c r="J46" s="5">
        <f t="shared" si="6"/>
        <v>89.741060807303356</v>
      </c>
    </row>
    <row r="47" spans="2:10" x14ac:dyDescent="0.3">
      <c r="B47" s="5">
        <v>22</v>
      </c>
      <c r="C47" s="5">
        <v>21.839705938907588</v>
      </c>
      <c r="D47" s="5">
        <f t="shared" si="0"/>
        <v>480.47353065596695</v>
      </c>
      <c r="E47" s="5">
        <f t="shared" si="1"/>
        <v>484</v>
      </c>
      <c r="F47" s="5">
        <f t="shared" si="2"/>
        <v>25.091245925698423</v>
      </c>
      <c r="G47" s="5">
        <f t="shared" si="3"/>
        <v>1.9075697368201858</v>
      </c>
      <c r="H47" s="5">
        <f t="shared" si="4"/>
        <v>3.6388223008322331</v>
      </c>
      <c r="I47" s="5">
        <f t="shared" si="5"/>
        <v>-1.3439702499706492</v>
      </c>
      <c r="J47" s="5">
        <f t="shared" si="6"/>
        <v>1.8062560328061692</v>
      </c>
    </row>
    <row r="48" spans="2:10" x14ac:dyDescent="0.3">
      <c r="B48" s="5">
        <v>30</v>
      </c>
      <c r="C48" s="5">
        <v>29.216544348521904</v>
      </c>
      <c r="D48" s="5">
        <f t="shared" si="0"/>
        <v>876.49633045565713</v>
      </c>
      <c r="E48" s="5">
        <f t="shared" si="1"/>
        <v>900</v>
      </c>
      <c r="F48" s="5">
        <f t="shared" si="2"/>
        <v>31.044124707709173</v>
      </c>
      <c r="G48" s="5">
        <f t="shared" si="3"/>
        <v>7.8604485188309354</v>
      </c>
      <c r="H48" s="5">
        <f t="shared" si="4"/>
        <v>61.786650917191444</v>
      </c>
      <c r="I48" s="5">
        <f t="shared" si="5"/>
        <v>6.032868159643666</v>
      </c>
      <c r="J48" s="5">
        <f t="shared" si="6"/>
        <v>36.39549823164235</v>
      </c>
    </row>
    <row r="49" spans="2:10" x14ac:dyDescent="0.3">
      <c r="B49" s="5">
        <v>21</v>
      </c>
      <c r="C49" s="5">
        <v>22.932183078470295</v>
      </c>
      <c r="D49" s="5">
        <f t="shared" si="0"/>
        <v>481.57584464787618</v>
      </c>
      <c r="E49" s="5">
        <f t="shared" si="1"/>
        <v>441</v>
      </c>
      <c r="F49" s="5">
        <f t="shared" si="2"/>
        <v>24.347136077947077</v>
      </c>
      <c r="G49" s="5">
        <f t="shared" si="3"/>
        <v>1.1634598890688395</v>
      </c>
      <c r="H49" s="5">
        <f t="shared" si="4"/>
        <v>1.3536389134720763</v>
      </c>
      <c r="I49" s="5">
        <f t="shared" si="5"/>
        <v>-0.25149311040794231</v>
      </c>
      <c r="J49" s="5">
        <f t="shared" si="6"/>
        <v>6.3248784582661463E-2</v>
      </c>
    </row>
    <row r="50" spans="2:10" x14ac:dyDescent="0.3">
      <c r="B50" s="5">
        <v>24</v>
      </c>
      <c r="C50" s="5">
        <v>25.850552004522797</v>
      </c>
      <c r="D50" s="5">
        <f t="shared" si="0"/>
        <v>620.41324810854712</v>
      </c>
      <c r="E50" s="5">
        <f t="shared" si="1"/>
        <v>576</v>
      </c>
      <c r="F50" s="5">
        <f t="shared" si="2"/>
        <v>26.579465621201109</v>
      </c>
      <c r="G50" s="5">
        <f t="shared" si="3"/>
        <v>3.3957894323228714</v>
      </c>
      <c r="H50" s="5">
        <f t="shared" si="4"/>
        <v>11.53138586867569</v>
      </c>
      <c r="I50" s="5">
        <f t="shared" si="5"/>
        <v>2.6668758156445591</v>
      </c>
      <c r="J50" s="5">
        <f t="shared" si="6"/>
        <v>7.1122266160698322</v>
      </c>
    </row>
    <row r="51" spans="2:10" x14ac:dyDescent="0.3">
      <c r="B51" s="5">
        <v>12</v>
      </c>
      <c r="C51" s="5">
        <v>15.142463221316323</v>
      </c>
      <c r="D51" s="5">
        <f t="shared" si="0"/>
        <v>181.70955865579589</v>
      </c>
      <c r="E51" s="5">
        <f t="shared" si="1"/>
        <v>144</v>
      </c>
      <c r="F51" s="5">
        <f t="shared" si="2"/>
        <v>17.650147448184981</v>
      </c>
      <c r="G51" s="5">
        <f t="shared" si="3"/>
        <v>-5.5335287406932565</v>
      </c>
      <c r="H51" s="5">
        <f t="shared" si="4"/>
        <v>30.619940324078296</v>
      </c>
      <c r="I51" s="5">
        <f t="shared" si="5"/>
        <v>-8.0412129675619148</v>
      </c>
      <c r="J51" s="5">
        <f t="shared" si="6"/>
        <v>64.661105989685893</v>
      </c>
    </row>
    <row r="52" spans="2:10" x14ac:dyDescent="0.3">
      <c r="B52" s="5">
        <v>13</v>
      </c>
      <c r="C52" s="5">
        <v>18.948931357639083</v>
      </c>
      <c r="D52" s="5">
        <f t="shared" si="0"/>
        <v>246.33610764930808</v>
      </c>
      <c r="E52" s="5">
        <f t="shared" si="1"/>
        <v>169</v>
      </c>
      <c r="F52" s="5">
        <f t="shared" si="2"/>
        <v>18.394257295936328</v>
      </c>
      <c r="G52" s="5">
        <f t="shared" si="3"/>
        <v>-4.7894188929419101</v>
      </c>
      <c r="H52" s="5">
        <f t="shared" si="4"/>
        <v>22.938533332068911</v>
      </c>
      <c r="I52" s="5">
        <f t="shared" si="5"/>
        <v>-4.2347448312391549</v>
      </c>
      <c r="J52" s="5">
        <f t="shared" si="6"/>
        <v>17.933063785706739</v>
      </c>
    </row>
    <row r="53" spans="2:10" x14ac:dyDescent="0.3">
      <c r="B53" s="5">
        <v>22</v>
      </c>
      <c r="C53" s="5">
        <v>25.095243200205918</v>
      </c>
      <c r="D53" s="5">
        <f t="shared" si="0"/>
        <v>552.09535040453022</v>
      </c>
      <c r="E53" s="5">
        <f t="shared" si="1"/>
        <v>484</v>
      </c>
      <c r="F53" s="5">
        <f t="shared" si="2"/>
        <v>25.091245925698423</v>
      </c>
      <c r="G53" s="5">
        <f t="shared" si="3"/>
        <v>1.9075697368201858</v>
      </c>
      <c r="H53" s="5">
        <f t="shared" si="4"/>
        <v>3.6388223008322331</v>
      </c>
      <c r="I53" s="5">
        <f t="shared" si="5"/>
        <v>1.9115670113276799</v>
      </c>
      <c r="J53" s="5">
        <f t="shared" si="6"/>
        <v>3.6540884387962382</v>
      </c>
    </row>
    <row r="54" spans="2:10" x14ac:dyDescent="0.3">
      <c r="B54" s="5">
        <v>21</v>
      </c>
      <c r="C54" s="5">
        <v>23.167825754959313</v>
      </c>
      <c r="D54" s="5">
        <f t="shared" si="0"/>
        <v>486.52434085414558</v>
      </c>
      <c r="E54" s="5">
        <f t="shared" si="1"/>
        <v>441</v>
      </c>
      <c r="F54" s="5">
        <f t="shared" si="2"/>
        <v>24.347136077947077</v>
      </c>
      <c r="G54" s="5">
        <f t="shared" si="3"/>
        <v>1.1634598890688395</v>
      </c>
      <c r="H54" s="5">
        <f t="shared" si="4"/>
        <v>1.3536389134720763</v>
      </c>
      <c r="I54" s="5">
        <f t="shared" si="5"/>
        <v>-1.5850433918924267E-2</v>
      </c>
      <c r="J54" s="5">
        <f t="shared" si="6"/>
        <v>2.5123625541818493E-4</v>
      </c>
    </row>
    <row r="55" spans="2:10" x14ac:dyDescent="0.3">
      <c r="B55" s="5">
        <v>29</v>
      </c>
      <c r="C55" s="5">
        <v>31.899276101806468</v>
      </c>
      <c r="D55" s="5">
        <f t="shared" si="0"/>
        <v>925.07900695238754</v>
      </c>
      <c r="E55" s="5">
        <f t="shared" si="1"/>
        <v>841</v>
      </c>
      <c r="F55" s="5">
        <f t="shared" si="2"/>
        <v>30.300014859957827</v>
      </c>
      <c r="G55" s="5">
        <f t="shared" si="3"/>
        <v>7.1163386710795891</v>
      </c>
      <c r="H55" s="5">
        <f t="shared" si="4"/>
        <v>50.642276081502814</v>
      </c>
      <c r="I55" s="5">
        <f t="shared" si="5"/>
        <v>8.71559991292823</v>
      </c>
      <c r="J55" s="5">
        <f t="shared" si="6"/>
        <v>75.961681842234569</v>
      </c>
    </row>
    <row r="56" spans="2:10" x14ac:dyDescent="0.3">
      <c r="B56" s="5">
        <v>17</v>
      </c>
      <c r="C56" s="5">
        <v>19.330703621002566</v>
      </c>
      <c r="D56" s="5">
        <f t="shared" si="0"/>
        <v>328.62196155704362</v>
      </c>
      <c r="E56" s="5">
        <f t="shared" si="1"/>
        <v>289</v>
      </c>
      <c r="F56" s="5">
        <f t="shared" si="2"/>
        <v>21.370696686941702</v>
      </c>
      <c r="G56" s="5">
        <f t="shared" si="3"/>
        <v>-1.8129795019365353</v>
      </c>
      <c r="H56" s="5">
        <f t="shared" si="4"/>
        <v>3.2868946744420477</v>
      </c>
      <c r="I56" s="5">
        <f t="shared" si="5"/>
        <v>-3.8529725678756712</v>
      </c>
      <c r="J56" s="5">
        <f t="shared" si="6"/>
        <v>14.845397608802443</v>
      </c>
    </row>
    <row r="57" spans="2:10" x14ac:dyDescent="0.3">
      <c r="B57" s="5">
        <v>15</v>
      </c>
      <c r="C57" s="5">
        <v>22.051001019272924</v>
      </c>
      <c r="D57" s="5">
        <f t="shared" si="0"/>
        <v>330.76501528909387</v>
      </c>
      <c r="E57" s="5">
        <f t="shared" si="1"/>
        <v>225</v>
      </c>
      <c r="F57" s="5">
        <f t="shared" si="2"/>
        <v>19.882476991439013</v>
      </c>
      <c r="G57" s="5">
        <f t="shared" si="3"/>
        <v>-3.3011991974392245</v>
      </c>
      <c r="H57" s="5">
        <f t="shared" si="4"/>
        <v>10.897916141173381</v>
      </c>
      <c r="I57" s="5">
        <f t="shared" si="5"/>
        <v>-1.1326751696053137</v>
      </c>
      <c r="J57" s="5">
        <f t="shared" si="6"/>
        <v>1.2829530398404261</v>
      </c>
    </row>
    <row r="58" spans="2:10" x14ac:dyDescent="0.3">
      <c r="B58" s="5">
        <v>16</v>
      </c>
      <c r="C58" s="5">
        <v>20.183802995848605</v>
      </c>
      <c r="D58" s="5">
        <f t="shared" si="0"/>
        <v>322.94084793357769</v>
      </c>
      <c r="E58" s="5">
        <f t="shared" si="1"/>
        <v>256</v>
      </c>
      <c r="F58" s="5">
        <f t="shared" si="2"/>
        <v>20.62658683919036</v>
      </c>
      <c r="G58" s="5">
        <f t="shared" si="3"/>
        <v>-2.5570893496878782</v>
      </c>
      <c r="H58" s="5">
        <f t="shared" si="4"/>
        <v>6.5387059422871756</v>
      </c>
      <c r="I58" s="5">
        <f t="shared" si="5"/>
        <v>-2.9998731930296323</v>
      </c>
      <c r="J58" s="5">
        <f t="shared" si="6"/>
        <v>8.9992391742578022</v>
      </c>
    </row>
    <row r="59" spans="2:10" x14ac:dyDescent="0.3">
      <c r="B59" s="5">
        <v>26</v>
      </c>
      <c r="C59" s="5">
        <v>24.919472488835311</v>
      </c>
      <c r="D59" s="5">
        <f t="shared" si="0"/>
        <v>647.90628470971808</v>
      </c>
      <c r="E59" s="5">
        <f t="shared" si="1"/>
        <v>676</v>
      </c>
      <c r="F59" s="5">
        <f t="shared" si="2"/>
        <v>28.067685316703795</v>
      </c>
      <c r="G59" s="5">
        <f t="shared" si="3"/>
        <v>4.8840091278255571</v>
      </c>
      <c r="H59" s="5">
        <f t="shared" si="4"/>
        <v>23.85354516068336</v>
      </c>
      <c r="I59" s="5">
        <f t="shared" si="5"/>
        <v>1.7357962999570731</v>
      </c>
      <c r="J59" s="5">
        <f t="shared" si="6"/>
        <v>3.0129887949446652</v>
      </c>
    </row>
    <row r="60" spans="2:10" x14ac:dyDescent="0.3">
      <c r="B60" s="5">
        <v>24</v>
      </c>
      <c r="C60" s="5">
        <v>27.289866654098898</v>
      </c>
      <c r="D60" s="5">
        <f t="shared" si="0"/>
        <v>654.95679969837352</v>
      </c>
      <c r="E60" s="5">
        <f t="shared" si="1"/>
        <v>576</v>
      </c>
      <c r="F60" s="5">
        <f t="shared" si="2"/>
        <v>26.579465621201109</v>
      </c>
      <c r="G60" s="5">
        <f t="shared" si="3"/>
        <v>3.3957894323228714</v>
      </c>
      <c r="H60" s="5">
        <f t="shared" si="4"/>
        <v>11.53138586867569</v>
      </c>
      <c r="I60" s="5">
        <f t="shared" si="5"/>
        <v>4.10619046522066</v>
      </c>
      <c r="J60" s="5">
        <f t="shared" si="6"/>
        <v>16.860800136669059</v>
      </c>
    </row>
    <row r="61" spans="2:10" x14ac:dyDescent="0.3">
      <c r="B61" s="5">
        <v>19</v>
      </c>
      <c r="C61" s="5">
        <v>25.383226067158599</v>
      </c>
      <c r="D61" s="5">
        <f t="shared" si="0"/>
        <v>482.2812952760134</v>
      </c>
      <c r="E61" s="5">
        <f t="shared" si="1"/>
        <v>361</v>
      </c>
      <c r="F61" s="5">
        <f t="shared" si="2"/>
        <v>22.858916382444392</v>
      </c>
      <c r="G61" s="5">
        <f t="shared" si="3"/>
        <v>-0.32475980643384617</v>
      </c>
      <c r="H61" s="5">
        <f t="shared" si="4"/>
        <v>0.10546893187494923</v>
      </c>
      <c r="I61" s="5">
        <f t="shared" si="5"/>
        <v>2.1995498782803615</v>
      </c>
      <c r="J61" s="5">
        <f t="shared" si="6"/>
        <v>4.8380196670431532</v>
      </c>
    </row>
    <row r="62" spans="2:10" x14ac:dyDescent="0.3">
      <c r="B62" s="5">
        <v>23</v>
      </c>
      <c r="C62" s="5">
        <v>22.883012719007031</v>
      </c>
      <c r="D62" s="5">
        <f t="shared" si="0"/>
        <v>526.3092925371617</v>
      </c>
      <c r="E62" s="5">
        <f t="shared" si="1"/>
        <v>529</v>
      </c>
      <c r="F62" s="5">
        <f t="shared" si="2"/>
        <v>25.835355773449763</v>
      </c>
      <c r="G62" s="5">
        <f t="shared" si="3"/>
        <v>2.6516795845715251</v>
      </c>
      <c r="H62" s="5">
        <f t="shared" si="4"/>
        <v>7.0314046192334159</v>
      </c>
      <c r="I62" s="5">
        <f t="shared" si="5"/>
        <v>-0.30066346987120696</v>
      </c>
      <c r="J62" s="5">
        <f t="shared" si="6"/>
        <v>9.0398522114994176E-2</v>
      </c>
    </row>
    <row r="63" spans="2:10" x14ac:dyDescent="0.3">
      <c r="B63" s="5">
        <v>20</v>
      </c>
      <c r="C63" s="5">
        <v>22.557968838562353</v>
      </c>
      <c r="D63" s="5">
        <f t="shared" si="0"/>
        <v>451.15937677124703</v>
      </c>
      <c r="E63" s="5">
        <f t="shared" si="1"/>
        <v>400</v>
      </c>
      <c r="F63" s="5">
        <f t="shared" si="2"/>
        <v>23.603026230195731</v>
      </c>
      <c r="G63" s="5">
        <f t="shared" si="3"/>
        <v>0.41935004131749309</v>
      </c>
      <c r="H63" s="5">
        <f t="shared" si="4"/>
        <v>0.17585445715298317</v>
      </c>
      <c r="I63" s="5">
        <f t="shared" si="5"/>
        <v>-0.62570735031588498</v>
      </c>
      <c r="J63" s="5">
        <f t="shared" si="6"/>
        <v>0.39150968823932558</v>
      </c>
    </row>
    <row r="64" spans="2:10" x14ac:dyDescent="0.3">
      <c r="B64" s="5">
        <v>26</v>
      </c>
      <c r="C64" s="5">
        <v>30.04809883072085</v>
      </c>
      <c r="D64" s="5">
        <f t="shared" si="0"/>
        <v>781.25056959874212</v>
      </c>
      <c r="E64" s="5">
        <f t="shared" si="1"/>
        <v>676</v>
      </c>
      <c r="F64" s="5">
        <f t="shared" si="2"/>
        <v>28.067685316703795</v>
      </c>
      <c r="G64" s="5">
        <f t="shared" si="3"/>
        <v>4.8840091278255571</v>
      </c>
      <c r="H64" s="5">
        <f t="shared" si="4"/>
        <v>23.85354516068336</v>
      </c>
      <c r="I64" s="5">
        <f t="shared" si="5"/>
        <v>6.8644226418426122</v>
      </c>
      <c r="J64" s="5">
        <f t="shared" si="6"/>
        <v>47.120298205841507</v>
      </c>
    </row>
    <row r="65" spans="2:10" x14ac:dyDescent="0.3">
      <c r="B65" s="5">
        <v>14</v>
      </c>
      <c r="C65" s="5">
        <v>20.660444699653603</v>
      </c>
      <c r="D65" s="5">
        <f t="shared" si="0"/>
        <v>289.24622579515045</v>
      </c>
      <c r="E65" s="5">
        <f t="shared" si="1"/>
        <v>196</v>
      </c>
      <c r="F65" s="5">
        <f t="shared" si="2"/>
        <v>19.13836714368767</v>
      </c>
      <c r="G65" s="5">
        <f t="shared" si="3"/>
        <v>-4.0453090451905673</v>
      </c>
      <c r="H65" s="5">
        <f t="shared" si="4"/>
        <v>16.364525271100618</v>
      </c>
      <c r="I65" s="5">
        <f t="shared" si="5"/>
        <v>-2.523231489224635</v>
      </c>
      <c r="J65" s="5">
        <f t="shared" si="6"/>
        <v>6.3666971482147696</v>
      </c>
    </row>
    <row r="66" spans="2:10" x14ac:dyDescent="0.3">
      <c r="B66" s="5">
        <v>18</v>
      </c>
      <c r="C66" s="5">
        <v>25.486084276678664</v>
      </c>
      <c r="D66" s="5">
        <f t="shared" si="0"/>
        <v>458.74951698021596</v>
      </c>
      <c r="E66" s="5">
        <f t="shared" si="1"/>
        <v>324</v>
      </c>
      <c r="F66" s="5">
        <f t="shared" si="2"/>
        <v>22.114806534693045</v>
      </c>
      <c r="G66" s="5">
        <f t="shared" si="3"/>
        <v>-1.0688696541851925</v>
      </c>
      <c r="H66" s="5">
        <f t="shared" si="4"/>
        <v>1.1424823376379731</v>
      </c>
      <c r="I66" s="5">
        <f t="shared" si="5"/>
        <v>2.3024080878004263</v>
      </c>
      <c r="J66" s="5">
        <f t="shared" si="6"/>
        <v>5.3010830027688156</v>
      </c>
    </row>
    <row r="67" spans="2:10" x14ac:dyDescent="0.3">
      <c r="B67" s="5">
        <v>20</v>
      </c>
      <c r="C67" s="5">
        <v>26.657069452193983</v>
      </c>
      <c r="D67" s="5">
        <f t="shared" ref="D67:D130" si="7">B67*C67</f>
        <v>533.14138904387971</v>
      </c>
      <c r="E67" s="5">
        <f t="shared" ref="E67:E130" si="8">POWER(B67, 2)</f>
        <v>400</v>
      </c>
      <c r="F67" s="5">
        <f t="shared" ref="F67:F130" si="9">$M$8+B67*$M$7</f>
        <v>23.603026230195731</v>
      </c>
      <c r="G67" s="5">
        <f t="shared" ref="G67:G130" si="10">F67-$M$3</f>
        <v>0.41935004131749309</v>
      </c>
      <c r="H67" s="5">
        <f t="shared" ref="H67:H130" si="11">POWER(G67,2)</f>
        <v>0.17585445715298317</v>
      </c>
      <c r="I67" s="5">
        <f t="shared" ref="I67:I130" si="12">C67-$M$3</f>
        <v>3.4733932633157458</v>
      </c>
      <c r="J67" s="5">
        <f t="shared" ref="J67:J130" si="13">POWER(I67,2)</f>
        <v>12.064460761647206</v>
      </c>
    </row>
    <row r="68" spans="2:10" x14ac:dyDescent="0.3">
      <c r="B68" s="5">
        <v>10</v>
      </c>
      <c r="C68" s="5">
        <v>19.313177758276019</v>
      </c>
      <c r="D68" s="5">
        <f t="shared" si="7"/>
        <v>193.13177758276021</v>
      </c>
      <c r="E68" s="5">
        <f t="shared" si="8"/>
        <v>100</v>
      </c>
      <c r="F68" s="5">
        <f t="shared" si="9"/>
        <v>16.161927752682296</v>
      </c>
      <c r="G68" s="5">
        <f t="shared" si="10"/>
        <v>-7.0217484361959421</v>
      </c>
      <c r="H68" s="5">
        <f t="shared" si="11"/>
        <v>49.304951101220162</v>
      </c>
      <c r="I68" s="5">
        <f t="shared" si="12"/>
        <v>-3.8704984306022183</v>
      </c>
      <c r="J68" s="5">
        <f t="shared" si="13"/>
        <v>14.980758101294235</v>
      </c>
    </row>
    <row r="69" spans="2:10" x14ac:dyDescent="0.3">
      <c r="B69" s="5">
        <v>20</v>
      </c>
      <c r="C69" s="5">
        <v>26.906666663525399</v>
      </c>
      <c r="D69" s="5">
        <f t="shared" si="7"/>
        <v>538.13333327050805</v>
      </c>
      <c r="E69" s="5">
        <f t="shared" si="8"/>
        <v>400</v>
      </c>
      <c r="F69" s="5">
        <f t="shared" si="9"/>
        <v>23.603026230195731</v>
      </c>
      <c r="G69" s="5">
        <f t="shared" si="10"/>
        <v>0.41935004131749309</v>
      </c>
      <c r="H69" s="5">
        <f t="shared" si="11"/>
        <v>0.17585445715298317</v>
      </c>
      <c r="I69" s="5">
        <f t="shared" si="12"/>
        <v>3.7229904746471618</v>
      </c>
      <c r="J69" s="5">
        <f t="shared" si="13"/>
        <v>13.860658074313498</v>
      </c>
    </row>
    <row r="70" spans="2:10" x14ac:dyDescent="0.3">
      <c r="B70" s="5">
        <v>16</v>
      </c>
      <c r="C70" s="5">
        <v>22.813668606071182</v>
      </c>
      <c r="D70" s="5">
        <f t="shared" si="7"/>
        <v>365.01869769713892</v>
      </c>
      <c r="E70" s="5">
        <f t="shared" si="8"/>
        <v>256</v>
      </c>
      <c r="F70" s="5">
        <f t="shared" si="9"/>
        <v>20.62658683919036</v>
      </c>
      <c r="G70" s="5">
        <f t="shared" si="10"/>
        <v>-2.5570893496878782</v>
      </c>
      <c r="H70" s="5">
        <f t="shared" si="11"/>
        <v>6.5387059422871756</v>
      </c>
      <c r="I70" s="5">
        <f t="shared" si="12"/>
        <v>-0.37000758280705526</v>
      </c>
      <c r="J70" s="5">
        <f t="shared" si="13"/>
        <v>0.13690561133471985</v>
      </c>
    </row>
    <row r="71" spans="2:10" x14ac:dyDescent="0.3">
      <c r="B71" s="5">
        <v>16</v>
      </c>
      <c r="C71" s="5">
        <v>19.117137296560752</v>
      </c>
      <c r="D71" s="5">
        <f t="shared" si="7"/>
        <v>305.87419674497204</v>
      </c>
      <c r="E71" s="5">
        <f t="shared" si="8"/>
        <v>256</v>
      </c>
      <c r="F71" s="5">
        <f t="shared" si="9"/>
        <v>20.62658683919036</v>
      </c>
      <c r="G71" s="5">
        <f t="shared" si="10"/>
        <v>-2.5570893496878782</v>
      </c>
      <c r="H71" s="5">
        <f t="shared" si="11"/>
        <v>6.5387059422871756</v>
      </c>
      <c r="I71" s="5">
        <f t="shared" si="12"/>
        <v>-4.0665388923174852</v>
      </c>
      <c r="J71" s="5">
        <f t="shared" si="13"/>
        <v>16.536738562730719</v>
      </c>
    </row>
    <row r="72" spans="2:10" x14ac:dyDescent="0.3">
      <c r="B72" s="5">
        <v>23</v>
      </c>
      <c r="C72" s="5">
        <v>28.461931742047902</v>
      </c>
      <c r="D72" s="5">
        <f t="shared" si="7"/>
        <v>654.6244300671018</v>
      </c>
      <c r="E72" s="5">
        <f t="shared" si="8"/>
        <v>529</v>
      </c>
      <c r="F72" s="5">
        <f t="shared" si="9"/>
        <v>25.835355773449763</v>
      </c>
      <c r="G72" s="5">
        <f t="shared" si="10"/>
        <v>2.6516795845715251</v>
      </c>
      <c r="H72" s="5">
        <f t="shared" si="11"/>
        <v>7.0314046192334159</v>
      </c>
      <c r="I72" s="5">
        <f t="shared" si="12"/>
        <v>5.2782555531696644</v>
      </c>
      <c r="J72" s="5">
        <f t="shared" si="13"/>
        <v>27.859981684566399</v>
      </c>
    </row>
    <row r="73" spans="2:10" x14ac:dyDescent="0.3">
      <c r="B73" s="5">
        <v>17</v>
      </c>
      <c r="C73" s="5">
        <v>24.666036172840506</v>
      </c>
      <c r="D73" s="5">
        <f t="shared" si="7"/>
        <v>419.32261493828861</v>
      </c>
      <c r="E73" s="5">
        <f t="shared" si="8"/>
        <v>289</v>
      </c>
      <c r="F73" s="5">
        <f t="shared" si="9"/>
        <v>21.370696686941702</v>
      </c>
      <c r="G73" s="5">
        <f t="shared" si="10"/>
        <v>-1.8129795019365353</v>
      </c>
      <c r="H73" s="5">
        <f t="shared" si="11"/>
        <v>3.2868946744420477</v>
      </c>
      <c r="I73" s="5">
        <f t="shared" si="12"/>
        <v>1.4823599839622688</v>
      </c>
      <c r="J73" s="5">
        <f t="shared" si="13"/>
        <v>2.1973911220526179</v>
      </c>
    </row>
    <row r="74" spans="2:10" x14ac:dyDescent="0.3">
      <c r="B74" s="5">
        <v>21</v>
      </c>
      <c r="C74" s="5">
        <v>21.676137989743481</v>
      </c>
      <c r="D74" s="5">
        <f t="shared" si="7"/>
        <v>455.19889778461311</v>
      </c>
      <c r="E74" s="5">
        <f t="shared" si="8"/>
        <v>441</v>
      </c>
      <c r="F74" s="5">
        <f t="shared" si="9"/>
        <v>24.347136077947077</v>
      </c>
      <c r="G74" s="5">
        <f t="shared" si="10"/>
        <v>1.1634598890688395</v>
      </c>
      <c r="H74" s="5">
        <f t="shared" si="11"/>
        <v>1.3536389134720763</v>
      </c>
      <c r="I74" s="5">
        <f t="shared" si="12"/>
        <v>-1.507538199134757</v>
      </c>
      <c r="J74" s="5">
        <f t="shared" si="13"/>
        <v>2.272671421850466</v>
      </c>
    </row>
    <row r="75" spans="2:10" x14ac:dyDescent="0.3">
      <c r="B75" s="5">
        <v>23</v>
      </c>
      <c r="C75" s="5">
        <v>23.184885144735897</v>
      </c>
      <c r="D75" s="5">
        <f t="shared" si="7"/>
        <v>533.25235832892565</v>
      </c>
      <c r="E75" s="5">
        <f t="shared" si="8"/>
        <v>529</v>
      </c>
      <c r="F75" s="5">
        <f t="shared" si="9"/>
        <v>25.835355773449763</v>
      </c>
      <c r="G75" s="5">
        <f t="shared" si="10"/>
        <v>2.6516795845715251</v>
      </c>
      <c r="H75" s="5">
        <f t="shared" si="11"/>
        <v>7.0314046192334159</v>
      </c>
      <c r="I75" s="5">
        <f t="shared" si="12"/>
        <v>1.2089558576597881E-3</v>
      </c>
      <c r="J75" s="5">
        <f t="shared" si="13"/>
        <v>1.4615742657699138E-6</v>
      </c>
    </row>
    <row r="76" spans="2:10" x14ac:dyDescent="0.3">
      <c r="B76" s="5">
        <v>30</v>
      </c>
      <c r="C76" s="5">
        <v>32.265780026398104</v>
      </c>
      <c r="D76" s="5">
        <f t="shared" si="7"/>
        <v>967.97340079194316</v>
      </c>
      <c r="E76" s="5">
        <f t="shared" si="8"/>
        <v>900</v>
      </c>
      <c r="F76" s="5">
        <f t="shared" si="9"/>
        <v>31.044124707709173</v>
      </c>
      <c r="G76" s="5">
        <f t="shared" si="10"/>
        <v>7.8604485188309354</v>
      </c>
      <c r="H76" s="5">
        <f t="shared" si="11"/>
        <v>61.786650917191444</v>
      </c>
      <c r="I76" s="5">
        <f t="shared" si="12"/>
        <v>9.0821038375198668</v>
      </c>
      <c r="J76" s="5">
        <f t="shared" si="13"/>
        <v>82.484610115493098</v>
      </c>
    </row>
    <row r="77" spans="2:10" x14ac:dyDescent="0.3">
      <c r="B77" s="5">
        <v>27</v>
      </c>
      <c r="C77" s="5">
        <v>31.493723447641976</v>
      </c>
      <c r="D77" s="5">
        <f t="shared" si="7"/>
        <v>850.33053308633339</v>
      </c>
      <c r="E77" s="5">
        <f t="shared" si="8"/>
        <v>729</v>
      </c>
      <c r="F77" s="5">
        <f t="shared" si="9"/>
        <v>28.811795164455141</v>
      </c>
      <c r="G77" s="5">
        <f t="shared" si="10"/>
        <v>5.6281189755769034</v>
      </c>
      <c r="H77" s="5">
        <f t="shared" si="11"/>
        <v>31.675723203248815</v>
      </c>
      <c r="I77" s="5">
        <f t="shared" si="12"/>
        <v>8.3100472587637384</v>
      </c>
      <c r="J77" s="5">
        <f t="shared" si="13"/>
        <v>69.056885442886724</v>
      </c>
    </row>
    <row r="78" spans="2:10" x14ac:dyDescent="0.3">
      <c r="B78" s="5">
        <v>18</v>
      </c>
      <c r="C78" s="5">
        <v>23.100977086514572</v>
      </c>
      <c r="D78" s="5">
        <f t="shared" si="7"/>
        <v>415.8175875572623</v>
      </c>
      <c r="E78" s="5">
        <f t="shared" si="8"/>
        <v>324</v>
      </c>
      <c r="F78" s="5">
        <f t="shared" si="9"/>
        <v>22.114806534693045</v>
      </c>
      <c r="G78" s="5">
        <f t="shared" si="10"/>
        <v>-1.0688696541851925</v>
      </c>
      <c r="H78" s="5">
        <f t="shared" si="11"/>
        <v>1.1424823376379731</v>
      </c>
      <c r="I78" s="5">
        <f t="shared" si="12"/>
        <v>-8.2699102363665844E-2</v>
      </c>
      <c r="J78" s="5">
        <f t="shared" si="13"/>
        <v>6.8391415317560818E-3</v>
      </c>
    </row>
    <row r="79" spans="2:10" x14ac:dyDescent="0.3">
      <c r="B79" s="5">
        <v>27</v>
      </c>
      <c r="C79" s="5">
        <v>30.219317203285296</v>
      </c>
      <c r="D79" s="5">
        <f t="shared" si="7"/>
        <v>815.92156448870298</v>
      </c>
      <c r="E79" s="5">
        <f t="shared" si="8"/>
        <v>729</v>
      </c>
      <c r="F79" s="5">
        <f t="shared" si="9"/>
        <v>28.811795164455141</v>
      </c>
      <c r="G79" s="5">
        <f t="shared" si="10"/>
        <v>5.6281189755769034</v>
      </c>
      <c r="H79" s="5">
        <f t="shared" si="11"/>
        <v>31.675723203248815</v>
      </c>
      <c r="I79" s="5">
        <f t="shared" si="12"/>
        <v>7.0356410144070587</v>
      </c>
      <c r="J79" s="5">
        <f t="shared" si="13"/>
        <v>49.500244483606785</v>
      </c>
    </row>
    <row r="80" spans="2:10" x14ac:dyDescent="0.3">
      <c r="B80" s="5">
        <v>26</v>
      </c>
      <c r="C80" s="5">
        <v>26.954981490778291</v>
      </c>
      <c r="D80" s="5">
        <f t="shared" si="7"/>
        <v>700.8295187602356</v>
      </c>
      <c r="E80" s="5">
        <f t="shared" si="8"/>
        <v>676</v>
      </c>
      <c r="F80" s="5">
        <f t="shared" si="9"/>
        <v>28.067685316703795</v>
      </c>
      <c r="G80" s="5">
        <f t="shared" si="10"/>
        <v>4.8840091278255571</v>
      </c>
      <c r="H80" s="5">
        <f t="shared" si="11"/>
        <v>23.85354516068336</v>
      </c>
      <c r="I80" s="5">
        <f t="shared" si="12"/>
        <v>3.7713053019000533</v>
      </c>
      <c r="J80" s="5">
        <f t="shared" si="13"/>
        <v>14.222743680139452</v>
      </c>
    </row>
    <row r="81" spans="2:10" x14ac:dyDescent="0.3">
      <c r="B81" s="5">
        <v>26</v>
      </c>
      <c r="C81" s="5">
        <v>28.562375056775796</v>
      </c>
      <c r="D81" s="5">
        <f t="shared" si="7"/>
        <v>742.62175147617074</v>
      </c>
      <c r="E81" s="5">
        <f t="shared" si="8"/>
        <v>676</v>
      </c>
      <c r="F81" s="5">
        <f t="shared" si="9"/>
        <v>28.067685316703795</v>
      </c>
      <c r="G81" s="5">
        <f t="shared" si="10"/>
        <v>4.8840091278255571</v>
      </c>
      <c r="H81" s="5">
        <f t="shared" si="11"/>
        <v>23.85354516068336</v>
      </c>
      <c r="I81" s="5">
        <f t="shared" si="12"/>
        <v>5.3786988678975582</v>
      </c>
      <c r="J81" s="5">
        <f t="shared" si="13"/>
        <v>28.930401511522476</v>
      </c>
    </row>
    <row r="82" spans="2:10" x14ac:dyDescent="0.3">
      <c r="B82" s="5">
        <v>22</v>
      </c>
      <c r="C82" s="5">
        <v>24.059514997698681</v>
      </c>
      <c r="D82" s="5">
        <f t="shared" si="7"/>
        <v>529.30932994937098</v>
      </c>
      <c r="E82" s="5">
        <f t="shared" si="8"/>
        <v>484</v>
      </c>
      <c r="F82" s="5">
        <f t="shared" si="9"/>
        <v>25.091245925698423</v>
      </c>
      <c r="G82" s="5">
        <f t="shared" si="10"/>
        <v>1.9075697368201858</v>
      </c>
      <c r="H82" s="5">
        <f t="shared" si="11"/>
        <v>3.6388223008322331</v>
      </c>
      <c r="I82" s="5">
        <f t="shared" si="12"/>
        <v>0.8758388088204434</v>
      </c>
      <c r="J82" s="5">
        <f t="shared" si="13"/>
        <v>0.76709361903601325</v>
      </c>
    </row>
    <row r="83" spans="2:10" x14ac:dyDescent="0.3">
      <c r="B83" s="5">
        <v>20</v>
      </c>
      <c r="C83" s="5">
        <v>24.610269870221149</v>
      </c>
      <c r="D83" s="5">
        <f t="shared" si="7"/>
        <v>492.20539740442297</v>
      </c>
      <c r="E83" s="5">
        <f t="shared" si="8"/>
        <v>400</v>
      </c>
      <c r="F83" s="5">
        <f t="shared" si="9"/>
        <v>23.603026230195731</v>
      </c>
      <c r="G83" s="5">
        <f t="shared" si="10"/>
        <v>0.41935004131749309</v>
      </c>
      <c r="H83" s="5">
        <f t="shared" si="11"/>
        <v>0.17585445715298317</v>
      </c>
      <c r="I83" s="5">
        <f t="shared" si="12"/>
        <v>1.4265936813429114</v>
      </c>
      <c r="J83" s="5">
        <f t="shared" si="13"/>
        <v>2.0351695316475205</v>
      </c>
    </row>
    <row r="84" spans="2:10" x14ac:dyDescent="0.3">
      <c r="B84" s="5">
        <v>26</v>
      </c>
      <c r="C84" s="5">
        <v>28.147492765051236</v>
      </c>
      <c r="D84" s="5">
        <f t="shared" si="7"/>
        <v>731.83481189133215</v>
      </c>
      <c r="E84" s="5">
        <f t="shared" si="8"/>
        <v>676</v>
      </c>
      <c r="F84" s="5">
        <f t="shared" si="9"/>
        <v>28.067685316703795</v>
      </c>
      <c r="G84" s="5">
        <f t="shared" si="10"/>
        <v>4.8840091278255571</v>
      </c>
      <c r="H84" s="5">
        <f t="shared" si="11"/>
        <v>23.85354516068336</v>
      </c>
      <c r="I84" s="5">
        <f t="shared" si="12"/>
        <v>4.9638165761729987</v>
      </c>
      <c r="J84" s="5">
        <f t="shared" si="13"/>
        <v>24.639475001889831</v>
      </c>
    </row>
    <row r="85" spans="2:10" x14ac:dyDescent="0.3">
      <c r="B85" s="5">
        <v>15</v>
      </c>
      <c r="C85" s="5">
        <v>18.475781538967148</v>
      </c>
      <c r="D85" s="5">
        <f t="shared" si="7"/>
        <v>277.1367230845072</v>
      </c>
      <c r="E85" s="5">
        <f t="shared" si="8"/>
        <v>225</v>
      </c>
      <c r="F85" s="5">
        <f t="shared" si="9"/>
        <v>19.882476991439013</v>
      </c>
      <c r="G85" s="5">
        <f t="shared" si="10"/>
        <v>-3.3011991974392245</v>
      </c>
      <c r="H85" s="5">
        <f t="shared" si="11"/>
        <v>10.897916141173381</v>
      </c>
      <c r="I85" s="5">
        <f t="shared" si="12"/>
        <v>-4.7078946499110899</v>
      </c>
      <c r="J85" s="5">
        <f t="shared" si="13"/>
        <v>22.164272034661462</v>
      </c>
    </row>
    <row r="86" spans="2:10" x14ac:dyDescent="0.3">
      <c r="B86" s="5">
        <v>21</v>
      </c>
      <c r="C86" s="5">
        <v>22.761312500340857</v>
      </c>
      <c r="D86" s="5">
        <f t="shared" si="7"/>
        <v>477.98756250715797</v>
      </c>
      <c r="E86" s="5">
        <f t="shared" si="8"/>
        <v>441</v>
      </c>
      <c r="F86" s="5">
        <f t="shared" si="9"/>
        <v>24.347136077947077</v>
      </c>
      <c r="G86" s="5">
        <f t="shared" si="10"/>
        <v>1.1634598890688395</v>
      </c>
      <c r="H86" s="5">
        <f t="shared" si="11"/>
        <v>1.3536389134720763</v>
      </c>
      <c r="I86" s="5">
        <f t="shared" si="12"/>
        <v>-0.42236368853738071</v>
      </c>
      <c r="J86" s="5">
        <f t="shared" si="13"/>
        <v>0.17839108539490153</v>
      </c>
    </row>
    <row r="87" spans="2:10" x14ac:dyDescent="0.3">
      <c r="B87" s="5">
        <v>15</v>
      </c>
      <c r="C87" s="5">
        <v>21.605357331509374</v>
      </c>
      <c r="D87" s="5">
        <f t="shared" si="7"/>
        <v>324.08035997264062</v>
      </c>
      <c r="E87" s="5">
        <f t="shared" si="8"/>
        <v>225</v>
      </c>
      <c r="F87" s="5">
        <f t="shared" si="9"/>
        <v>19.882476991439013</v>
      </c>
      <c r="G87" s="5">
        <f t="shared" si="10"/>
        <v>-3.3011991974392245</v>
      </c>
      <c r="H87" s="5">
        <f t="shared" si="11"/>
        <v>10.897916141173381</v>
      </c>
      <c r="I87" s="5">
        <f t="shared" si="12"/>
        <v>-1.5783188573688633</v>
      </c>
      <c r="J87" s="5">
        <f t="shared" si="13"/>
        <v>2.4910904155261546</v>
      </c>
    </row>
    <row r="88" spans="2:10" x14ac:dyDescent="0.3">
      <c r="B88" s="5">
        <v>11</v>
      </c>
      <c r="C88" s="5">
        <v>16.449904931017052</v>
      </c>
      <c r="D88" s="5">
        <f t="shared" si="7"/>
        <v>180.94895424118758</v>
      </c>
      <c r="E88" s="5">
        <f t="shared" si="8"/>
        <v>121</v>
      </c>
      <c r="F88" s="5">
        <f t="shared" si="9"/>
        <v>16.906037600433638</v>
      </c>
      <c r="G88" s="5">
        <f t="shared" si="10"/>
        <v>-6.2776385884445993</v>
      </c>
      <c r="H88" s="5">
        <f t="shared" si="11"/>
        <v>39.408746247128704</v>
      </c>
      <c r="I88" s="5">
        <f t="shared" si="12"/>
        <v>-6.7337712578611857</v>
      </c>
      <c r="J88" s="5">
        <f t="shared" si="13"/>
        <v>45.343675353197412</v>
      </c>
    </row>
    <row r="89" spans="2:10" x14ac:dyDescent="0.3">
      <c r="B89" s="5">
        <v>12</v>
      </c>
      <c r="C89" s="5">
        <v>20.104038273538244</v>
      </c>
      <c r="D89" s="5">
        <f t="shared" si="7"/>
        <v>241.24845928245892</v>
      </c>
      <c r="E89" s="5">
        <f t="shared" si="8"/>
        <v>144</v>
      </c>
      <c r="F89" s="5">
        <f t="shared" si="9"/>
        <v>17.650147448184981</v>
      </c>
      <c r="G89" s="5">
        <f t="shared" si="10"/>
        <v>-5.5335287406932565</v>
      </c>
      <c r="H89" s="5">
        <f t="shared" si="11"/>
        <v>30.619940324078296</v>
      </c>
      <c r="I89" s="5">
        <f t="shared" si="12"/>
        <v>-3.079637915339994</v>
      </c>
      <c r="J89" s="5">
        <f t="shared" si="13"/>
        <v>9.4841696895996641</v>
      </c>
    </row>
    <row r="90" spans="2:10" x14ac:dyDescent="0.3">
      <c r="B90" s="5">
        <v>13</v>
      </c>
      <c r="C90" s="5">
        <v>17.634559911075918</v>
      </c>
      <c r="D90" s="5">
        <f t="shared" si="7"/>
        <v>229.24927884398693</v>
      </c>
      <c r="E90" s="5">
        <f t="shared" si="8"/>
        <v>169</v>
      </c>
      <c r="F90" s="5">
        <f t="shared" si="9"/>
        <v>18.394257295936328</v>
      </c>
      <c r="G90" s="5">
        <f t="shared" si="10"/>
        <v>-4.7894188929419101</v>
      </c>
      <c r="H90" s="5">
        <f t="shared" si="11"/>
        <v>22.938533332068911</v>
      </c>
      <c r="I90" s="5">
        <f t="shared" si="12"/>
        <v>-5.5491162778023195</v>
      </c>
      <c r="J90" s="5">
        <f t="shared" si="13"/>
        <v>30.79269146457067</v>
      </c>
    </row>
    <row r="91" spans="2:10" x14ac:dyDescent="0.3">
      <c r="B91" s="5">
        <v>12</v>
      </c>
      <c r="C91" s="5">
        <v>19.619920773049991</v>
      </c>
      <c r="D91" s="5">
        <f t="shared" si="7"/>
        <v>235.43904927659989</v>
      </c>
      <c r="E91" s="5">
        <f t="shared" si="8"/>
        <v>144</v>
      </c>
      <c r="F91" s="5">
        <f t="shared" si="9"/>
        <v>17.650147448184981</v>
      </c>
      <c r="G91" s="5">
        <f t="shared" si="10"/>
        <v>-5.5335287406932565</v>
      </c>
      <c r="H91" s="5">
        <f t="shared" si="11"/>
        <v>30.619940324078296</v>
      </c>
      <c r="I91" s="5">
        <f t="shared" si="12"/>
        <v>-3.563755415828247</v>
      </c>
      <c r="J91" s="5">
        <f t="shared" si="13"/>
        <v>12.700352663845161</v>
      </c>
    </row>
    <row r="92" spans="2:10" x14ac:dyDescent="0.3">
      <c r="B92" s="5">
        <v>19</v>
      </c>
      <c r="C92" s="5">
        <v>23.193941307257781</v>
      </c>
      <c r="D92" s="5">
        <f t="shared" si="7"/>
        <v>440.68488483789781</v>
      </c>
      <c r="E92" s="5">
        <f t="shared" si="8"/>
        <v>361</v>
      </c>
      <c r="F92" s="5">
        <f t="shared" si="9"/>
        <v>22.858916382444392</v>
      </c>
      <c r="G92" s="5">
        <f t="shared" si="10"/>
        <v>-0.32475980643384617</v>
      </c>
      <c r="H92" s="5">
        <f t="shared" si="11"/>
        <v>0.10546893187494923</v>
      </c>
      <c r="I92" s="5">
        <f t="shared" si="12"/>
        <v>1.0265118379543026E-2</v>
      </c>
      <c r="J92" s="5">
        <f t="shared" si="13"/>
        <v>1.0537265534603203E-4</v>
      </c>
    </row>
    <row r="93" spans="2:10" x14ac:dyDescent="0.3">
      <c r="B93" s="5">
        <v>22</v>
      </c>
      <c r="C93" s="5">
        <v>27.155286683931891</v>
      </c>
      <c r="D93" s="5">
        <f t="shared" si="7"/>
        <v>597.41630704650163</v>
      </c>
      <c r="E93" s="5">
        <f t="shared" si="8"/>
        <v>484</v>
      </c>
      <c r="F93" s="5">
        <f t="shared" si="9"/>
        <v>25.091245925698423</v>
      </c>
      <c r="G93" s="5">
        <f t="shared" si="10"/>
        <v>1.9075697368201858</v>
      </c>
      <c r="H93" s="5">
        <f t="shared" si="11"/>
        <v>3.6388223008322331</v>
      </c>
      <c r="I93" s="5">
        <f t="shared" si="12"/>
        <v>3.9716104950536533</v>
      </c>
      <c r="J93" s="5">
        <f t="shared" si="13"/>
        <v>15.773689924420324</v>
      </c>
    </row>
    <row r="94" spans="2:10" x14ac:dyDescent="0.3">
      <c r="B94" s="5">
        <v>14</v>
      </c>
      <c r="C94" s="5">
        <v>21.912104090420307</v>
      </c>
      <c r="D94" s="5">
        <f t="shared" si="7"/>
        <v>306.76945726588428</v>
      </c>
      <c r="E94" s="5">
        <f t="shared" si="8"/>
        <v>196</v>
      </c>
      <c r="F94" s="5">
        <f t="shared" si="9"/>
        <v>19.13836714368767</v>
      </c>
      <c r="G94" s="5">
        <f t="shared" si="10"/>
        <v>-4.0453090451905673</v>
      </c>
      <c r="H94" s="5">
        <f t="shared" si="11"/>
        <v>16.364525271100618</v>
      </c>
      <c r="I94" s="5">
        <f t="shared" si="12"/>
        <v>-1.2715720984579306</v>
      </c>
      <c r="J94" s="5">
        <f t="shared" si="13"/>
        <v>1.6168956015767053</v>
      </c>
    </row>
    <row r="95" spans="2:10" x14ac:dyDescent="0.3">
      <c r="B95" s="5">
        <v>13</v>
      </c>
      <c r="C95" s="5">
        <v>20.439140047687445</v>
      </c>
      <c r="D95" s="5">
        <f t="shared" si="7"/>
        <v>265.70882061993677</v>
      </c>
      <c r="E95" s="5">
        <f t="shared" si="8"/>
        <v>169</v>
      </c>
      <c r="F95" s="5">
        <f t="shared" si="9"/>
        <v>18.394257295936328</v>
      </c>
      <c r="G95" s="5">
        <f t="shared" si="10"/>
        <v>-4.7894188929419101</v>
      </c>
      <c r="H95" s="5">
        <f t="shared" si="11"/>
        <v>22.938533332068911</v>
      </c>
      <c r="I95" s="5">
        <f t="shared" si="12"/>
        <v>-2.7445361411907925</v>
      </c>
      <c r="J95" s="5">
        <f t="shared" si="13"/>
        <v>7.532478630302446</v>
      </c>
    </row>
    <row r="96" spans="2:10" x14ac:dyDescent="0.3">
      <c r="B96" s="5">
        <v>23</v>
      </c>
      <c r="C96" s="5">
        <v>22.759442672081004</v>
      </c>
      <c r="D96" s="5">
        <f t="shared" si="7"/>
        <v>523.46718145786315</v>
      </c>
      <c r="E96" s="5">
        <f t="shared" si="8"/>
        <v>529</v>
      </c>
      <c r="F96" s="5">
        <f t="shared" si="9"/>
        <v>25.835355773449763</v>
      </c>
      <c r="G96" s="5">
        <f t="shared" si="10"/>
        <v>2.6516795845715251</v>
      </c>
      <c r="H96" s="5">
        <f t="shared" si="11"/>
        <v>7.0314046192334159</v>
      </c>
      <c r="I96" s="5">
        <f t="shared" si="12"/>
        <v>-0.42423351679723353</v>
      </c>
      <c r="J96" s="5">
        <f t="shared" si="13"/>
        <v>0.17997407677414862</v>
      </c>
    </row>
    <row r="97" spans="2:10" x14ac:dyDescent="0.3">
      <c r="B97" s="5">
        <v>16</v>
      </c>
      <c r="C97" s="5">
        <v>17.423043165451688</v>
      </c>
      <c r="D97" s="5">
        <f t="shared" si="7"/>
        <v>278.768690647227</v>
      </c>
      <c r="E97" s="5">
        <f t="shared" si="8"/>
        <v>256</v>
      </c>
      <c r="F97" s="5">
        <f t="shared" si="9"/>
        <v>20.62658683919036</v>
      </c>
      <c r="G97" s="5">
        <f t="shared" si="10"/>
        <v>-2.5570893496878782</v>
      </c>
      <c r="H97" s="5">
        <f t="shared" si="11"/>
        <v>6.5387059422871756</v>
      </c>
      <c r="I97" s="5">
        <f t="shared" si="12"/>
        <v>-5.7606330234265499</v>
      </c>
      <c r="J97" s="5">
        <f t="shared" si="13"/>
        <v>33.184892830592517</v>
      </c>
    </row>
    <row r="98" spans="2:10" x14ac:dyDescent="0.3">
      <c r="B98" s="5">
        <v>14</v>
      </c>
      <c r="C98" s="5">
        <v>18.670531307393322</v>
      </c>
      <c r="D98" s="5">
        <f t="shared" si="7"/>
        <v>261.38743830350649</v>
      </c>
      <c r="E98" s="5">
        <f t="shared" si="8"/>
        <v>196</v>
      </c>
      <c r="F98" s="5">
        <f t="shared" si="9"/>
        <v>19.13836714368767</v>
      </c>
      <c r="G98" s="5">
        <f t="shared" si="10"/>
        <v>-4.0453090451905673</v>
      </c>
      <c r="H98" s="5">
        <f t="shared" si="11"/>
        <v>16.364525271100618</v>
      </c>
      <c r="I98" s="5">
        <f t="shared" si="12"/>
        <v>-4.5131448814849158</v>
      </c>
      <c r="J98" s="5">
        <f t="shared" si="13"/>
        <v>20.368476721273495</v>
      </c>
    </row>
    <row r="99" spans="2:10" x14ac:dyDescent="0.3">
      <c r="B99" s="5">
        <v>14</v>
      </c>
      <c r="C99" s="5">
        <v>15.788140552613948</v>
      </c>
      <c r="D99" s="5">
        <f t="shared" si="7"/>
        <v>221.03396773659526</v>
      </c>
      <c r="E99" s="5">
        <f t="shared" si="8"/>
        <v>196</v>
      </c>
      <c r="F99" s="5">
        <f t="shared" si="9"/>
        <v>19.13836714368767</v>
      </c>
      <c r="G99" s="5">
        <f t="shared" si="10"/>
        <v>-4.0453090451905673</v>
      </c>
      <c r="H99" s="5">
        <f t="shared" si="11"/>
        <v>16.364525271100618</v>
      </c>
      <c r="I99" s="5">
        <f t="shared" si="12"/>
        <v>-7.3955356362642899</v>
      </c>
      <c r="J99" s="5">
        <f t="shared" si="13"/>
        <v>54.693947347255055</v>
      </c>
    </row>
    <row r="100" spans="2:10" x14ac:dyDescent="0.3">
      <c r="B100" s="5">
        <v>23</v>
      </c>
      <c r="C100" s="5">
        <v>24.946603084523005</v>
      </c>
      <c r="D100" s="5">
        <f t="shared" si="7"/>
        <v>573.77187094402916</v>
      </c>
      <c r="E100" s="5">
        <f t="shared" si="8"/>
        <v>529</v>
      </c>
      <c r="F100" s="5">
        <f t="shared" si="9"/>
        <v>25.835355773449763</v>
      </c>
      <c r="G100" s="5">
        <f t="shared" si="10"/>
        <v>2.6516795845715251</v>
      </c>
      <c r="H100" s="5">
        <f t="shared" si="11"/>
        <v>7.0314046192334159</v>
      </c>
      <c r="I100" s="5">
        <f t="shared" si="12"/>
        <v>1.7629268956447675</v>
      </c>
      <c r="J100" s="5">
        <f t="shared" si="13"/>
        <v>3.1079112393876969</v>
      </c>
    </row>
    <row r="101" spans="2:10" x14ac:dyDescent="0.3">
      <c r="B101" s="5">
        <v>25</v>
      </c>
      <c r="C101" s="5">
        <v>24.5853121052821</v>
      </c>
      <c r="D101" s="5">
        <f t="shared" si="7"/>
        <v>614.63280263205252</v>
      </c>
      <c r="E101" s="5">
        <f t="shared" si="8"/>
        <v>625</v>
      </c>
      <c r="F101" s="5">
        <f t="shared" si="9"/>
        <v>27.323575468952455</v>
      </c>
      <c r="G101" s="5">
        <f t="shared" si="10"/>
        <v>4.1398992800742178</v>
      </c>
      <c r="H101" s="5">
        <f t="shared" si="11"/>
        <v>17.138766049159027</v>
      </c>
      <c r="I101" s="5">
        <f t="shared" si="12"/>
        <v>1.4016359164038619</v>
      </c>
      <c r="J101" s="5">
        <f t="shared" si="13"/>
        <v>1.9645832421532936</v>
      </c>
    </row>
    <row r="102" spans="2:10" x14ac:dyDescent="0.3">
      <c r="B102" s="5">
        <v>19</v>
      </c>
      <c r="C102" s="5">
        <v>25.237189636419735</v>
      </c>
      <c r="D102" s="5">
        <f t="shared" si="7"/>
        <v>479.50660309197497</v>
      </c>
      <c r="E102" s="5">
        <f t="shared" si="8"/>
        <v>361</v>
      </c>
      <c r="F102" s="5">
        <f t="shared" si="9"/>
        <v>22.858916382444392</v>
      </c>
      <c r="G102" s="5">
        <f t="shared" si="10"/>
        <v>-0.32475980643384617</v>
      </c>
      <c r="H102" s="5">
        <f t="shared" si="11"/>
        <v>0.10546893187494923</v>
      </c>
      <c r="I102" s="5">
        <f t="shared" si="12"/>
        <v>2.0535134475414978</v>
      </c>
      <c r="J102" s="5">
        <f t="shared" si="13"/>
        <v>4.2169174792337678</v>
      </c>
    </row>
    <row r="103" spans="2:10" x14ac:dyDescent="0.3">
      <c r="B103" s="5">
        <v>11</v>
      </c>
      <c r="C103" s="5">
        <v>18.363534759590188</v>
      </c>
      <c r="D103" s="5">
        <f t="shared" si="7"/>
        <v>201.99888235549207</v>
      </c>
      <c r="E103" s="5">
        <f t="shared" si="8"/>
        <v>121</v>
      </c>
      <c r="F103" s="5">
        <f t="shared" si="9"/>
        <v>16.906037600433638</v>
      </c>
      <c r="G103" s="5">
        <f t="shared" si="10"/>
        <v>-6.2776385884445993</v>
      </c>
      <c r="H103" s="5">
        <f t="shared" si="11"/>
        <v>39.408746247128704</v>
      </c>
      <c r="I103" s="5">
        <f t="shared" si="12"/>
        <v>-4.82014142928805</v>
      </c>
      <c r="J103" s="5">
        <f t="shared" si="13"/>
        <v>23.233763398339047</v>
      </c>
    </row>
    <row r="104" spans="2:10" x14ac:dyDescent="0.3">
      <c r="B104" s="5">
        <v>25</v>
      </c>
      <c r="C104" s="5">
        <v>29.366820969025738</v>
      </c>
      <c r="D104" s="5">
        <f t="shared" si="7"/>
        <v>734.17052422564348</v>
      </c>
      <c r="E104" s="5">
        <f t="shared" si="8"/>
        <v>625</v>
      </c>
      <c r="F104" s="5">
        <f t="shared" si="9"/>
        <v>27.323575468952455</v>
      </c>
      <c r="G104" s="5">
        <f t="shared" si="10"/>
        <v>4.1398992800742178</v>
      </c>
      <c r="H104" s="5">
        <f t="shared" si="11"/>
        <v>17.138766049159027</v>
      </c>
      <c r="I104" s="5">
        <f t="shared" si="12"/>
        <v>6.1831447801475008</v>
      </c>
      <c r="J104" s="5">
        <f t="shared" si="13"/>
        <v>38.231279372265284</v>
      </c>
    </row>
    <row r="105" spans="2:10" x14ac:dyDescent="0.3">
      <c r="B105" s="5">
        <v>28</v>
      </c>
      <c r="C105" s="5">
        <v>26.569087262746898</v>
      </c>
      <c r="D105" s="5">
        <f t="shared" si="7"/>
        <v>743.93444335691311</v>
      </c>
      <c r="E105" s="5">
        <f t="shared" si="8"/>
        <v>784</v>
      </c>
      <c r="F105" s="5">
        <f t="shared" si="9"/>
        <v>29.555905012206487</v>
      </c>
      <c r="G105" s="5">
        <f t="shared" si="10"/>
        <v>6.3722288233282498</v>
      </c>
      <c r="H105" s="5">
        <f t="shared" si="11"/>
        <v>40.60530017685533</v>
      </c>
      <c r="I105" s="5">
        <f t="shared" si="12"/>
        <v>3.38541107386866</v>
      </c>
      <c r="J105" s="5">
        <f t="shared" si="13"/>
        <v>11.461008139072554</v>
      </c>
    </row>
    <row r="106" spans="2:10" x14ac:dyDescent="0.3">
      <c r="B106" s="5">
        <v>25</v>
      </c>
      <c r="C106" s="5">
        <v>30.251404058671447</v>
      </c>
      <c r="D106" s="5">
        <f t="shared" si="7"/>
        <v>756.28510146678616</v>
      </c>
      <c r="E106" s="5">
        <f t="shared" si="8"/>
        <v>625</v>
      </c>
      <c r="F106" s="5">
        <f t="shared" si="9"/>
        <v>27.323575468952455</v>
      </c>
      <c r="G106" s="5">
        <f t="shared" si="10"/>
        <v>4.1398992800742178</v>
      </c>
      <c r="H106" s="5">
        <f t="shared" si="11"/>
        <v>17.138766049159027</v>
      </c>
      <c r="I106" s="5">
        <f t="shared" si="12"/>
        <v>7.0677278697932095</v>
      </c>
      <c r="J106" s="5">
        <f t="shared" si="13"/>
        <v>49.952777241451656</v>
      </c>
    </row>
    <row r="107" spans="2:10" x14ac:dyDescent="0.3">
      <c r="B107" s="5">
        <v>13</v>
      </c>
      <c r="C107" s="5">
        <v>15.079757856770353</v>
      </c>
      <c r="D107" s="5">
        <f t="shared" si="7"/>
        <v>196.03685213801458</v>
      </c>
      <c r="E107" s="5">
        <f t="shared" si="8"/>
        <v>169</v>
      </c>
      <c r="F107" s="5">
        <f t="shared" si="9"/>
        <v>18.394257295936328</v>
      </c>
      <c r="G107" s="5">
        <f t="shared" si="10"/>
        <v>-4.7894188929419101</v>
      </c>
      <c r="H107" s="5">
        <f t="shared" si="11"/>
        <v>22.938533332068911</v>
      </c>
      <c r="I107" s="5">
        <f t="shared" si="12"/>
        <v>-8.1039183321078845</v>
      </c>
      <c r="J107" s="5">
        <f t="shared" si="13"/>
        <v>65.673492333474243</v>
      </c>
    </row>
    <row r="108" spans="2:10" x14ac:dyDescent="0.3">
      <c r="B108" s="5">
        <v>16</v>
      </c>
      <c r="C108" s="5">
        <v>18.986875348640812</v>
      </c>
      <c r="D108" s="5">
        <f t="shared" si="7"/>
        <v>303.79000557825299</v>
      </c>
      <c r="E108" s="5">
        <f t="shared" si="8"/>
        <v>256</v>
      </c>
      <c r="F108" s="5">
        <f t="shared" si="9"/>
        <v>20.62658683919036</v>
      </c>
      <c r="G108" s="5">
        <f t="shared" si="10"/>
        <v>-2.5570893496878782</v>
      </c>
      <c r="H108" s="5">
        <f t="shared" si="11"/>
        <v>6.5387059422871756</v>
      </c>
      <c r="I108" s="5">
        <f t="shared" si="12"/>
        <v>-4.1968008402374259</v>
      </c>
      <c r="J108" s="5">
        <f t="shared" si="13"/>
        <v>17.613137292617566</v>
      </c>
    </row>
    <row r="109" spans="2:10" x14ac:dyDescent="0.3">
      <c r="B109" s="5">
        <v>28</v>
      </c>
      <c r="C109" s="5">
        <v>27.286242297675091</v>
      </c>
      <c r="D109" s="5">
        <f t="shared" si="7"/>
        <v>764.01478433490252</v>
      </c>
      <c r="E109" s="5">
        <f t="shared" si="8"/>
        <v>784</v>
      </c>
      <c r="F109" s="5">
        <f t="shared" si="9"/>
        <v>29.555905012206487</v>
      </c>
      <c r="G109" s="5">
        <f t="shared" si="10"/>
        <v>6.3722288233282498</v>
      </c>
      <c r="H109" s="5">
        <f t="shared" si="11"/>
        <v>40.60530017685533</v>
      </c>
      <c r="I109" s="5">
        <f t="shared" si="12"/>
        <v>4.1025661087968537</v>
      </c>
      <c r="J109" s="5">
        <f t="shared" si="13"/>
        <v>16.831048677048557</v>
      </c>
    </row>
    <row r="110" spans="2:10" x14ac:dyDescent="0.3">
      <c r="B110" s="5">
        <v>20</v>
      </c>
      <c r="C110" s="5">
        <v>26.30671267264961</v>
      </c>
      <c r="D110" s="5">
        <f t="shared" si="7"/>
        <v>526.1342534529922</v>
      </c>
      <c r="E110" s="5">
        <f t="shared" si="8"/>
        <v>400</v>
      </c>
      <c r="F110" s="5">
        <f t="shared" si="9"/>
        <v>23.603026230195731</v>
      </c>
      <c r="G110" s="5">
        <f t="shared" si="10"/>
        <v>0.41935004131749309</v>
      </c>
      <c r="H110" s="5">
        <f t="shared" si="11"/>
        <v>0.17585445715298317</v>
      </c>
      <c r="I110" s="5">
        <f t="shared" si="12"/>
        <v>3.1230364837713722</v>
      </c>
      <c r="J110" s="5">
        <f t="shared" si="13"/>
        <v>9.7533568789670557</v>
      </c>
    </row>
    <row r="111" spans="2:10" x14ac:dyDescent="0.3">
      <c r="B111" s="5">
        <v>15</v>
      </c>
      <c r="C111" s="5">
        <v>17.855667164743526</v>
      </c>
      <c r="D111" s="5">
        <f t="shared" si="7"/>
        <v>267.83500747115289</v>
      </c>
      <c r="E111" s="5">
        <f t="shared" si="8"/>
        <v>225</v>
      </c>
      <c r="F111" s="5">
        <f t="shared" si="9"/>
        <v>19.882476991439013</v>
      </c>
      <c r="G111" s="5">
        <f t="shared" si="10"/>
        <v>-3.3011991974392245</v>
      </c>
      <c r="H111" s="5">
        <f t="shared" si="11"/>
        <v>10.897916141173381</v>
      </c>
      <c r="I111" s="5">
        <f t="shared" si="12"/>
        <v>-5.3280090241347118</v>
      </c>
      <c r="J111" s="5">
        <f t="shared" si="13"/>
        <v>28.387680161260924</v>
      </c>
    </row>
    <row r="112" spans="2:10" x14ac:dyDescent="0.3">
      <c r="B112" s="5">
        <v>21</v>
      </c>
      <c r="C112" s="5">
        <v>24.982419641797105</v>
      </c>
      <c r="D112" s="5">
        <f t="shared" si="7"/>
        <v>524.63081247773914</v>
      </c>
      <c r="E112" s="5">
        <f t="shared" si="8"/>
        <v>441</v>
      </c>
      <c r="F112" s="5">
        <f t="shared" si="9"/>
        <v>24.347136077947077</v>
      </c>
      <c r="G112" s="5">
        <f t="shared" si="10"/>
        <v>1.1634598890688395</v>
      </c>
      <c r="H112" s="5">
        <f t="shared" si="11"/>
        <v>1.3536389134720763</v>
      </c>
      <c r="I112" s="5">
        <f t="shared" si="12"/>
        <v>1.7987434529188668</v>
      </c>
      <c r="J112" s="5">
        <f t="shared" si="13"/>
        <v>3.2354780094184878</v>
      </c>
    </row>
    <row r="113" spans="2:10" x14ac:dyDescent="0.3">
      <c r="B113" s="5">
        <v>14</v>
      </c>
      <c r="C113" s="5">
        <v>16.497330950837771</v>
      </c>
      <c r="D113" s="5">
        <f t="shared" si="7"/>
        <v>230.96263331172878</v>
      </c>
      <c r="E113" s="5">
        <f t="shared" si="8"/>
        <v>196</v>
      </c>
      <c r="F113" s="5">
        <f t="shared" si="9"/>
        <v>19.13836714368767</v>
      </c>
      <c r="G113" s="5">
        <f t="shared" si="10"/>
        <v>-4.0453090451905673</v>
      </c>
      <c r="H113" s="5">
        <f t="shared" si="11"/>
        <v>16.364525271100618</v>
      </c>
      <c r="I113" s="5">
        <f t="shared" si="12"/>
        <v>-6.6863452380404667</v>
      </c>
      <c r="J113" s="5">
        <f t="shared" si="13"/>
        <v>44.707212642266427</v>
      </c>
    </row>
    <row r="114" spans="2:10" x14ac:dyDescent="0.3">
      <c r="B114" s="5">
        <v>14</v>
      </c>
      <c r="C114" s="5">
        <v>20.63097080474915</v>
      </c>
      <c r="D114" s="5">
        <f t="shared" si="7"/>
        <v>288.8335912664881</v>
      </c>
      <c r="E114" s="5">
        <f t="shared" si="8"/>
        <v>196</v>
      </c>
      <c r="F114" s="5">
        <f t="shared" si="9"/>
        <v>19.13836714368767</v>
      </c>
      <c r="G114" s="5">
        <f t="shared" si="10"/>
        <v>-4.0453090451905673</v>
      </c>
      <c r="H114" s="5">
        <f t="shared" si="11"/>
        <v>16.364525271100618</v>
      </c>
      <c r="I114" s="5">
        <f t="shared" si="12"/>
        <v>-2.5527053841290872</v>
      </c>
      <c r="J114" s="5">
        <f t="shared" si="13"/>
        <v>6.516304778161631</v>
      </c>
    </row>
    <row r="115" spans="2:10" x14ac:dyDescent="0.3">
      <c r="B115" s="5">
        <v>13</v>
      </c>
      <c r="C115" s="5">
        <v>18.527164413343698</v>
      </c>
      <c r="D115" s="5">
        <f t="shared" si="7"/>
        <v>240.85313737346809</v>
      </c>
      <c r="E115" s="5">
        <f t="shared" si="8"/>
        <v>169</v>
      </c>
      <c r="F115" s="5">
        <f t="shared" si="9"/>
        <v>18.394257295936328</v>
      </c>
      <c r="G115" s="5">
        <f t="shared" si="10"/>
        <v>-4.7894188929419101</v>
      </c>
      <c r="H115" s="5">
        <f t="shared" si="11"/>
        <v>22.938533332068911</v>
      </c>
      <c r="I115" s="5">
        <f t="shared" si="12"/>
        <v>-4.6565117755345398</v>
      </c>
      <c r="J115" s="5">
        <f t="shared" si="13"/>
        <v>21.683101915691832</v>
      </c>
    </row>
    <row r="116" spans="2:10" x14ac:dyDescent="0.3">
      <c r="B116" s="5">
        <v>30</v>
      </c>
      <c r="C116" s="5">
        <v>29.676035982075696</v>
      </c>
      <c r="D116" s="5">
        <f t="shared" si="7"/>
        <v>890.2810794622709</v>
      </c>
      <c r="E116" s="5">
        <f t="shared" si="8"/>
        <v>900</v>
      </c>
      <c r="F116" s="5">
        <f t="shared" si="9"/>
        <v>31.044124707709173</v>
      </c>
      <c r="G116" s="5">
        <f t="shared" si="10"/>
        <v>7.8604485188309354</v>
      </c>
      <c r="H116" s="5">
        <f t="shared" si="11"/>
        <v>61.786650917191444</v>
      </c>
      <c r="I116" s="5">
        <f t="shared" si="12"/>
        <v>6.4923597931974584</v>
      </c>
      <c r="J116" s="5">
        <f t="shared" si="13"/>
        <v>42.150735684326946</v>
      </c>
    </row>
    <row r="117" spans="2:10" x14ac:dyDescent="0.3">
      <c r="B117" s="5">
        <v>21</v>
      </c>
      <c r="C117" s="5">
        <v>25.723639819905046</v>
      </c>
      <c r="D117" s="5">
        <f t="shared" si="7"/>
        <v>540.19643621800594</v>
      </c>
      <c r="E117" s="5">
        <f t="shared" si="8"/>
        <v>441</v>
      </c>
      <c r="F117" s="5">
        <f t="shared" si="9"/>
        <v>24.347136077947077</v>
      </c>
      <c r="G117" s="5">
        <f t="shared" si="10"/>
        <v>1.1634598890688395</v>
      </c>
      <c r="H117" s="5">
        <f t="shared" si="11"/>
        <v>1.3536389134720763</v>
      </c>
      <c r="I117" s="5">
        <f t="shared" si="12"/>
        <v>2.5399636310268079</v>
      </c>
      <c r="J117" s="5">
        <f t="shared" si="13"/>
        <v>6.4514152469388861</v>
      </c>
    </row>
    <row r="118" spans="2:10" x14ac:dyDescent="0.3">
      <c r="B118" s="5">
        <v>15</v>
      </c>
      <c r="C118" s="5">
        <v>21.543733751178348</v>
      </c>
      <c r="D118" s="5">
        <f t="shared" si="7"/>
        <v>323.1560062676752</v>
      </c>
      <c r="E118" s="5">
        <f t="shared" si="8"/>
        <v>225</v>
      </c>
      <c r="F118" s="5">
        <f t="shared" si="9"/>
        <v>19.882476991439013</v>
      </c>
      <c r="G118" s="5">
        <f t="shared" si="10"/>
        <v>-3.3011991974392245</v>
      </c>
      <c r="H118" s="5">
        <f t="shared" si="11"/>
        <v>10.897916141173381</v>
      </c>
      <c r="I118" s="5">
        <f t="shared" si="12"/>
        <v>-1.6399424376998901</v>
      </c>
      <c r="J118" s="5">
        <f t="shared" si="13"/>
        <v>2.6894111989690579</v>
      </c>
    </row>
    <row r="119" spans="2:10" x14ac:dyDescent="0.3">
      <c r="B119" s="5">
        <v>21</v>
      </c>
      <c r="C119" s="5">
        <v>27.589250723839356</v>
      </c>
      <c r="D119" s="5">
        <f t="shared" si="7"/>
        <v>579.3742652006265</v>
      </c>
      <c r="E119" s="5">
        <f t="shared" si="8"/>
        <v>441</v>
      </c>
      <c r="F119" s="5">
        <f t="shared" si="9"/>
        <v>24.347136077947077</v>
      </c>
      <c r="G119" s="5">
        <f t="shared" si="10"/>
        <v>1.1634598890688395</v>
      </c>
      <c r="H119" s="5">
        <f t="shared" si="11"/>
        <v>1.3536389134720763</v>
      </c>
      <c r="I119" s="5">
        <f t="shared" si="12"/>
        <v>4.4055745349611186</v>
      </c>
      <c r="J119" s="5">
        <f t="shared" si="13"/>
        <v>19.409086983097875</v>
      </c>
    </row>
    <row r="120" spans="2:10" x14ac:dyDescent="0.3">
      <c r="B120" s="5">
        <v>12</v>
      </c>
      <c r="C120" s="5">
        <v>15.934357184739998</v>
      </c>
      <c r="D120" s="5">
        <f t="shared" si="7"/>
        <v>191.21228621687999</v>
      </c>
      <c r="E120" s="5">
        <f t="shared" si="8"/>
        <v>144</v>
      </c>
      <c r="F120" s="5">
        <f t="shared" si="9"/>
        <v>17.650147448184981</v>
      </c>
      <c r="G120" s="5">
        <f t="shared" si="10"/>
        <v>-5.5335287406932565</v>
      </c>
      <c r="H120" s="5">
        <f t="shared" si="11"/>
        <v>30.619940324078296</v>
      </c>
      <c r="I120" s="5">
        <f t="shared" si="12"/>
        <v>-7.2493190041382398</v>
      </c>
      <c r="J120" s="5">
        <f t="shared" si="13"/>
        <v>52.552626023759842</v>
      </c>
    </row>
    <row r="121" spans="2:10" x14ac:dyDescent="0.3">
      <c r="B121" s="5">
        <v>23</v>
      </c>
      <c r="C121" s="5">
        <v>22.693235872730195</v>
      </c>
      <c r="D121" s="5">
        <f t="shared" si="7"/>
        <v>521.9444250727945</v>
      </c>
      <c r="E121" s="5">
        <f t="shared" si="8"/>
        <v>529</v>
      </c>
      <c r="F121" s="5">
        <f t="shared" si="9"/>
        <v>25.835355773449763</v>
      </c>
      <c r="G121" s="5">
        <f t="shared" si="10"/>
        <v>2.6516795845715251</v>
      </c>
      <c r="H121" s="5">
        <f t="shared" si="11"/>
        <v>7.0314046192334159</v>
      </c>
      <c r="I121" s="5">
        <f t="shared" si="12"/>
        <v>-0.4904403161480424</v>
      </c>
      <c r="J121" s="5">
        <f t="shared" si="13"/>
        <v>0.24053170370339177</v>
      </c>
    </row>
    <row r="122" spans="2:10" x14ac:dyDescent="0.3">
      <c r="B122" s="5">
        <v>10</v>
      </c>
      <c r="C122" s="5">
        <v>14.282976156064064</v>
      </c>
      <c r="D122" s="5">
        <f t="shared" si="7"/>
        <v>142.82976156064063</v>
      </c>
      <c r="E122" s="5">
        <f t="shared" si="8"/>
        <v>100</v>
      </c>
      <c r="F122" s="5">
        <f t="shared" si="9"/>
        <v>16.161927752682296</v>
      </c>
      <c r="G122" s="5">
        <f t="shared" si="10"/>
        <v>-7.0217484361959421</v>
      </c>
      <c r="H122" s="5">
        <f t="shared" si="11"/>
        <v>49.304951101220162</v>
      </c>
      <c r="I122" s="5">
        <f t="shared" si="12"/>
        <v>-8.9007000328141732</v>
      </c>
      <c r="J122" s="5">
        <f t="shared" si="13"/>
        <v>79.222461074138224</v>
      </c>
    </row>
    <row r="123" spans="2:10" x14ac:dyDescent="0.3">
      <c r="B123" s="5">
        <v>22</v>
      </c>
      <c r="C123" s="5">
        <v>22.500079596832641</v>
      </c>
      <c r="D123" s="5">
        <f t="shared" si="7"/>
        <v>495.0017511303181</v>
      </c>
      <c r="E123" s="5">
        <f t="shared" si="8"/>
        <v>484</v>
      </c>
      <c r="F123" s="5">
        <f t="shared" si="9"/>
        <v>25.091245925698423</v>
      </c>
      <c r="G123" s="5">
        <f t="shared" si="10"/>
        <v>1.9075697368201858</v>
      </c>
      <c r="H123" s="5">
        <f t="shared" si="11"/>
        <v>3.6388223008322331</v>
      </c>
      <c r="I123" s="5">
        <f t="shared" si="12"/>
        <v>-0.6835965920455962</v>
      </c>
      <c r="J123" s="5">
        <f t="shared" si="13"/>
        <v>0.46730430065635326</v>
      </c>
    </row>
    <row r="124" spans="2:10" x14ac:dyDescent="0.3">
      <c r="B124" s="5">
        <v>10</v>
      </c>
      <c r="C124" s="5">
        <v>19.25839170857034</v>
      </c>
      <c r="D124" s="5">
        <f t="shared" si="7"/>
        <v>192.5839170857034</v>
      </c>
      <c r="E124" s="5">
        <f t="shared" si="8"/>
        <v>100</v>
      </c>
      <c r="F124" s="5">
        <f t="shared" si="9"/>
        <v>16.161927752682296</v>
      </c>
      <c r="G124" s="5">
        <f t="shared" si="10"/>
        <v>-7.0217484361959421</v>
      </c>
      <c r="H124" s="5">
        <f t="shared" si="11"/>
        <v>49.304951101220162</v>
      </c>
      <c r="I124" s="5">
        <f t="shared" si="12"/>
        <v>-3.9252844803078979</v>
      </c>
      <c r="J124" s="5">
        <f t="shared" si="13"/>
        <v>15.407858251346044</v>
      </c>
    </row>
    <row r="125" spans="2:10" x14ac:dyDescent="0.3">
      <c r="B125" s="5">
        <v>13</v>
      </c>
      <c r="C125" s="5">
        <v>15.133582810510934</v>
      </c>
      <c r="D125" s="5">
        <f t="shared" si="7"/>
        <v>196.73657653664213</v>
      </c>
      <c r="E125" s="5">
        <f t="shared" si="8"/>
        <v>169</v>
      </c>
      <c r="F125" s="5">
        <f t="shared" si="9"/>
        <v>18.394257295936328</v>
      </c>
      <c r="G125" s="5">
        <f t="shared" si="10"/>
        <v>-4.7894188929419101</v>
      </c>
      <c r="H125" s="5">
        <f t="shared" si="11"/>
        <v>22.938533332068911</v>
      </c>
      <c r="I125" s="5">
        <f t="shared" si="12"/>
        <v>-8.0500933783673041</v>
      </c>
      <c r="J125" s="5">
        <f t="shared" si="13"/>
        <v>64.804003400433118</v>
      </c>
    </row>
    <row r="126" spans="2:10" x14ac:dyDescent="0.3">
      <c r="B126" s="5">
        <v>18</v>
      </c>
      <c r="C126" s="5">
        <v>24.273396065094623</v>
      </c>
      <c r="D126" s="5">
        <f t="shared" si="7"/>
        <v>436.92112917170323</v>
      </c>
      <c r="E126" s="5">
        <f t="shared" si="8"/>
        <v>324</v>
      </c>
      <c r="F126" s="5">
        <f t="shared" si="9"/>
        <v>22.114806534693045</v>
      </c>
      <c r="G126" s="5">
        <f t="shared" si="10"/>
        <v>-1.0688696541851925</v>
      </c>
      <c r="H126" s="5">
        <f t="shared" si="11"/>
        <v>1.1424823376379731</v>
      </c>
      <c r="I126" s="5">
        <f t="shared" si="12"/>
        <v>1.0897198762163853</v>
      </c>
      <c r="J126" s="5">
        <f t="shared" si="13"/>
        <v>1.1874894086210541</v>
      </c>
    </row>
    <row r="127" spans="2:10" x14ac:dyDescent="0.3">
      <c r="B127" s="5">
        <v>15</v>
      </c>
      <c r="C127" s="5">
        <v>18.711346147467086</v>
      </c>
      <c r="D127" s="5">
        <f t="shared" si="7"/>
        <v>280.67019221200627</v>
      </c>
      <c r="E127" s="5">
        <f t="shared" si="8"/>
        <v>225</v>
      </c>
      <c r="F127" s="5">
        <f t="shared" si="9"/>
        <v>19.882476991439013</v>
      </c>
      <c r="G127" s="5">
        <f t="shared" si="10"/>
        <v>-3.3011991974392245</v>
      </c>
      <c r="H127" s="5">
        <f t="shared" si="11"/>
        <v>10.897916141173381</v>
      </c>
      <c r="I127" s="5">
        <f t="shared" si="12"/>
        <v>-4.4723300414111513</v>
      </c>
      <c r="J127" s="5">
        <f t="shared" si="13"/>
        <v>20.001735999308671</v>
      </c>
    </row>
    <row r="128" spans="2:10" x14ac:dyDescent="0.3">
      <c r="B128" s="5">
        <v>12</v>
      </c>
      <c r="C128" s="5">
        <v>15.771732589649579</v>
      </c>
      <c r="D128" s="5">
        <f t="shared" si="7"/>
        <v>189.26079107579494</v>
      </c>
      <c r="E128" s="5">
        <f t="shared" si="8"/>
        <v>144</v>
      </c>
      <c r="F128" s="5">
        <f t="shared" si="9"/>
        <v>17.650147448184981</v>
      </c>
      <c r="G128" s="5">
        <f t="shared" si="10"/>
        <v>-5.5335287406932565</v>
      </c>
      <c r="H128" s="5">
        <f t="shared" si="11"/>
        <v>30.619940324078296</v>
      </c>
      <c r="I128" s="5">
        <f t="shared" si="12"/>
        <v>-7.4119435992286586</v>
      </c>
      <c r="J128" s="5">
        <f t="shared" si="13"/>
        <v>54.93690791814668</v>
      </c>
    </row>
    <row r="129" spans="2:10" x14ac:dyDescent="0.3">
      <c r="B129" s="5">
        <v>12</v>
      </c>
      <c r="C129" s="5">
        <v>18.313837327067109</v>
      </c>
      <c r="D129" s="5">
        <f t="shared" si="7"/>
        <v>219.76604792480532</v>
      </c>
      <c r="E129" s="5">
        <f t="shared" si="8"/>
        <v>144</v>
      </c>
      <c r="F129" s="5">
        <f t="shared" si="9"/>
        <v>17.650147448184981</v>
      </c>
      <c r="G129" s="5">
        <f t="shared" si="10"/>
        <v>-5.5335287406932565</v>
      </c>
      <c r="H129" s="5">
        <f t="shared" si="11"/>
        <v>30.619940324078296</v>
      </c>
      <c r="I129" s="5">
        <f t="shared" si="12"/>
        <v>-4.8698388618111288</v>
      </c>
      <c r="J129" s="5">
        <f t="shared" si="13"/>
        <v>23.715330540005912</v>
      </c>
    </row>
    <row r="130" spans="2:10" x14ac:dyDescent="0.3">
      <c r="B130" s="5">
        <v>23</v>
      </c>
      <c r="C130" s="5">
        <v>24.048388786605368</v>
      </c>
      <c r="D130" s="5">
        <f t="shared" si="7"/>
        <v>553.11294209192351</v>
      </c>
      <c r="E130" s="5">
        <f t="shared" si="8"/>
        <v>529</v>
      </c>
      <c r="F130" s="5">
        <f t="shared" si="9"/>
        <v>25.835355773449763</v>
      </c>
      <c r="G130" s="5">
        <f t="shared" si="10"/>
        <v>2.6516795845715251</v>
      </c>
      <c r="H130" s="5">
        <f t="shared" si="11"/>
        <v>7.0314046192334159</v>
      </c>
      <c r="I130" s="5">
        <f t="shared" si="12"/>
        <v>0.86471259772713083</v>
      </c>
      <c r="J130" s="5">
        <f t="shared" si="13"/>
        <v>0.74772787666800278</v>
      </c>
    </row>
    <row r="131" spans="2:10" x14ac:dyDescent="0.3">
      <c r="B131" s="5">
        <v>18</v>
      </c>
      <c r="C131" s="5">
        <v>21.114670404758417</v>
      </c>
      <c r="D131" s="5">
        <f t="shared" ref="D131:D194" si="14">B131*C131</f>
        <v>380.0640672856515</v>
      </c>
      <c r="E131" s="5">
        <f t="shared" ref="E131:E194" si="15">POWER(B131, 2)</f>
        <v>324</v>
      </c>
      <c r="F131" s="5">
        <f t="shared" ref="F131:F194" si="16">$M$8+B131*$M$7</f>
        <v>22.114806534693045</v>
      </c>
      <c r="G131" s="5">
        <f t="shared" ref="G131:G194" si="17">F131-$M$3</f>
        <v>-1.0688696541851925</v>
      </c>
      <c r="H131" s="5">
        <f t="shared" ref="H131:H194" si="18">POWER(G131,2)</f>
        <v>1.1424823376379731</v>
      </c>
      <c r="I131" s="5">
        <f t="shared" ref="I131:I194" si="19">C131-$M$3</f>
        <v>-2.0690057841198204</v>
      </c>
      <c r="J131" s="5">
        <f t="shared" ref="J131:J194" si="20">POWER(I131,2)</f>
        <v>4.2807849347212725</v>
      </c>
    </row>
    <row r="132" spans="2:10" x14ac:dyDescent="0.3">
      <c r="B132" s="5">
        <v>19</v>
      </c>
      <c r="C132" s="5">
        <v>26.154026965593914</v>
      </c>
      <c r="D132" s="5">
        <f t="shared" si="14"/>
        <v>496.92651234628437</v>
      </c>
      <c r="E132" s="5">
        <f t="shared" si="15"/>
        <v>361</v>
      </c>
      <c r="F132" s="5">
        <f t="shared" si="16"/>
        <v>22.858916382444392</v>
      </c>
      <c r="G132" s="5">
        <f t="shared" si="17"/>
        <v>-0.32475980643384617</v>
      </c>
      <c r="H132" s="5">
        <f t="shared" si="18"/>
        <v>0.10546893187494923</v>
      </c>
      <c r="I132" s="5">
        <f t="shared" si="19"/>
        <v>2.9703507767156765</v>
      </c>
      <c r="J132" s="5">
        <f t="shared" si="20"/>
        <v>8.8229837367354218</v>
      </c>
    </row>
    <row r="133" spans="2:10" x14ac:dyDescent="0.3">
      <c r="B133" s="5">
        <v>26</v>
      </c>
      <c r="C133" s="5">
        <v>28.688167241062473</v>
      </c>
      <c r="D133" s="5">
        <f t="shared" si="14"/>
        <v>745.89234826762436</v>
      </c>
      <c r="E133" s="5">
        <f t="shared" si="15"/>
        <v>676</v>
      </c>
      <c r="F133" s="5">
        <f t="shared" si="16"/>
        <v>28.067685316703795</v>
      </c>
      <c r="G133" s="5">
        <f t="shared" si="17"/>
        <v>4.8840091278255571</v>
      </c>
      <c r="H133" s="5">
        <f t="shared" si="18"/>
        <v>23.85354516068336</v>
      </c>
      <c r="I133" s="5">
        <f t="shared" si="19"/>
        <v>5.5044910521842354</v>
      </c>
      <c r="J133" s="5">
        <f t="shared" si="20"/>
        <v>30.29942174357631</v>
      </c>
    </row>
    <row r="134" spans="2:10" x14ac:dyDescent="0.3">
      <c r="B134" s="5">
        <v>13</v>
      </c>
      <c r="C134" s="5">
        <v>16.390300336059035</v>
      </c>
      <c r="D134" s="5">
        <f t="shared" si="14"/>
        <v>213.07390436876744</v>
      </c>
      <c r="E134" s="5">
        <f t="shared" si="15"/>
        <v>169</v>
      </c>
      <c r="F134" s="5">
        <f t="shared" si="16"/>
        <v>18.394257295936328</v>
      </c>
      <c r="G134" s="5">
        <f t="shared" si="17"/>
        <v>-4.7894188929419101</v>
      </c>
      <c r="H134" s="5">
        <f t="shared" si="18"/>
        <v>22.938533332068911</v>
      </c>
      <c r="I134" s="5">
        <f t="shared" si="19"/>
        <v>-6.793375852819203</v>
      </c>
      <c r="J134" s="5">
        <f t="shared" si="20"/>
        <v>46.149955477667035</v>
      </c>
    </row>
    <row r="135" spans="2:10" x14ac:dyDescent="0.3">
      <c r="B135" s="5">
        <v>24</v>
      </c>
      <c r="C135" s="5">
        <v>30.19730539651728</v>
      </c>
      <c r="D135" s="5">
        <f t="shared" si="14"/>
        <v>724.73532951641471</v>
      </c>
      <c r="E135" s="5">
        <f t="shared" si="15"/>
        <v>576</v>
      </c>
      <c r="F135" s="5">
        <f t="shared" si="16"/>
        <v>26.579465621201109</v>
      </c>
      <c r="G135" s="5">
        <f t="shared" si="17"/>
        <v>3.3957894323228714</v>
      </c>
      <c r="H135" s="5">
        <f t="shared" si="18"/>
        <v>11.53138586867569</v>
      </c>
      <c r="I135" s="5">
        <f t="shared" si="19"/>
        <v>7.0136292076390419</v>
      </c>
      <c r="J135" s="5">
        <f t="shared" si="20"/>
        <v>49.190994662247455</v>
      </c>
    </row>
    <row r="136" spans="2:10" x14ac:dyDescent="0.3">
      <c r="B136" s="5">
        <v>15</v>
      </c>
      <c r="C136" s="5">
        <v>22.21982606936551</v>
      </c>
      <c r="D136" s="5">
        <f t="shared" si="14"/>
        <v>333.29739104048264</v>
      </c>
      <c r="E136" s="5">
        <f t="shared" si="15"/>
        <v>225</v>
      </c>
      <c r="F136" s="5">
        <f t="shared" si="16"/>
        <v>19.882476991439013</v>
      </c>
      <c r="G136" s="5">
        <f t="shared" si="17"/>
        <v>-3.3011991974392245</v>
      </c>
      <c r="H136" s="5">
        <f t="shared" si="18"/>
        <v>10.897916141173381</v>
      </c>
      <c r="I136" s="5">
        <f t="shared" si="19"/>
        <v>-0.96385011951272759</v>
      </c>
      <c r="J136" s="5">
        <f t="shared" si="20"/>
        <v>0.9290070528846992</v>
      </c>
    </row>
    <row r="137" spans="2:10" x14ac:dyDescent="0.3">
      <c r="B137" s="5">
        <v>19</v>
      </c>
      <c r="C137" s="5">
        <v>24.325299013599107</v>
      </c>
      <c r="D137" s="5">
        <f t="shared" si="14"/>
        <v>462.18068125838306</v>
      </c>
      <c r="E137" s="5">
        <f t="shared" si="15"/>
        <v>361</v>
      </c>
      <c r="F137" s="5">
        <f t="shared" si="16"/>
        <v>22.858916382444392</v>
      </c>
      <c r="G137" s="5">
        <f t="shared" si="17"/>
        <v>-0.32475980643384617</v>
      </c>
      <c r="H137" s="5">
        <f t="shared" si="18"/>
        <v>0.10546893187494923</v>
      </c>
      <c r="I137" s="5">
        <f t="shared" si="19"/>
        <v>1.1416228247208693</v>
      </c>
      <c r="J137" s="5">
        <f t="shared" si="20"/>
        <v>1.3033026739236566</v>
      </c>
    </row>
    <row r="138" spans="2:10" x14ac:dyDescent="0.3">
      <c r="B138" s="5">
        <v>22</v>
      </c>
      <c r="C138" s="5">
        <v>24.670047504847293</v>
      </c>
      <c r="D138" s="5">
        <f t="shared" si="14"/>
        <v>542.7410451066404</v>
      </c>
      <c r="E138" s="5">
        <f t="shared" si="15"/>
        <v>484</v>
      </c>
      <c r="F138" s="5">
        <f t="shared" si="16"/>
        <v>25.091245925698423</v>
      </c>
      <c r="G138" s="5">
        <f t="shared" si="17"/>
        <v>1.9075697368201858</v>
      </c>
      <c r="H138" s="5">
        <f t="shared" si="18"/>
        <v>3.6388223008322331</v>
      </c>
      <c r="I138" s="5">
        <f t="shared" si="19"/>
        <v>1.4863713159690555</v>
      </c>
      <c r="J138" s="5">
        <f t="shared" si="20"/>
        <v>2.2092996889355816</v>
      </c>
    </row>
    <row r="139" spans="2:10" x14ac:dyDescent="0.3">
      <c r="B139" s="5">
        <v>15</v>
      </c>
      <c r="C139" s="5">
        <v>17.252285771450733</v>
      </c>
      <c r="D139" s="5">
        <f t="shared" si="14"/>
        <v>258.78428657176102</v>
      </c>
      <c r="E139" s="5">
        <f t="shared" si="15"/>
        <v>225</v>
      </c>
      <c r="F139" s="5">
        <f t="shared" si="16"/>
        <v>19.882476991439013</v>
      </c>
      <c r="G139" s="5">
        <f t="shared" si="17"/>
        <v>-3.3011991974392245</v>
      </c>
      <c r="H139" s="5">
        <f t="shared" si="18"/>
        <v>10.897916141173381</v>
      </c>
      <c r="I139" s="5">
        <f t="shared" si="19"/>
        <v>-5.9313904174275045</v>
      </c>
      <c r="J139" s="5">
        <f t="shared" si="20"/>
        <v>35.181392283950828</v>
      </c>
    </row>
    <row r="140" spans="2:10" x14ac:dyDescent="0.3">
      <c r="B140" s="5">
        <v>20</v>
      </c>
      <c r="C140" s="5">
        <v>21.837530084766065</v>
      </c>
      <c r="D140" s="5">
        <f t="shared" si="14"/>
        <v>436.75060169532128</v>
      </c>
      <c r="E140" s="5">
        <f t="shared" si="15"/>
        <v>400</v>
      </c>
      <c r="F140" s="5">
        <f t="shared" si="16"/>
        <v>23.603026230195731</v>
      </c>
      <c r="G140" s="5">
        <f t="shared" si="17"/>
        <v>0.41935004131749309</v>
      </c>
      <c r="H140" s="5">
        <f t="shared" si="18"/>
        <v>0.17585445715298317</v>
      </c>
      <c r="I140" s="5">
        <f t="shared" si="19"/>
        <v>-1.3461461041121723</v>
      </c>
      <c r="J140" s="5">
        <f t="shared" si="20"/>
        <v>1.8121093336163794</v>
      </c>
    </row>
    <row r="141" spans="2:10" x14ac:dyDescent="0.3">
      <c r="B141" s="5">
        <v>25</v>
      </c>
      <c r="C141" s="5">
        <v>26.396191351481587</v>
      </c>
      <c r="D141" s="5">
        <f t="shared" si="14"/>
        <v>659.90478378703972</v>
      </c>
      <c r="E141" s="5">
        <f t="shared" si="15"/>
        <v>625</v>
      </c>
      <c r="F141" s="5">
        <f t="shared" si="16"/>
        <v>27.323575468952455</v>
      </c>
      <c r="G141" s="5">
        <f t="shared" si="17"/>
        <v>4.1398992800742178</v>
      </c>
      <c r="H141" s="5">
        <f t="shared" si="18"/>
        <v>17.138766049159027</v>
      </c>
      <c r="I141" s="5">
        <f t="shared" si="19"/>
        <v>3.2125151626033492</v>
      </c>
      <c r="J141" s="5">
        <f t="shared" si="20"/>
        <v>10.320253669956424</v>
      </c>
    </row>
    <row r="142" spans="2:10" x14ac:dyDescent="0.3">
      <c r="B142" s="5">
        <v>26</v>
      </c>
      <c r="C142" s="5">
        <v>26.532462174539376</v>
      </c>
      <c r="D142" s="5">
        <f t="shared" si="14"/>
        <v>689.84401653802377</v>
      </c>
      <c r="E142" s="5">
        <f t="shared" si="15"/>
        <v>676</v>
      </c>
      <c r="F142" s="5">
        <f t="shared" si="16"/>
        <v>28.067685316703795</v>
      </c>
      <c r="G142" s="5">
        <f t="shared" si="17"/>
        <v>4.8840091278255571</v>
      </c>
      <c r="H142" s="5">
        <f t="shared" si="18"/>
        <v>23.85354516068336</v>
      </c>
      <c r="I142" s="5">
        <f t="shared" si="19"/>
        <v>3.3487859856611379</v>
      </c>
      <c r="J142" s="5">
        <f t="shared" si="20"/>
        <v>11.21436757776044</v>
      </c>
    </row>
    <row r="143" spans="2:10" x14ac:dyDescent="0.3">
      <c r="B143" s="5">
        <v>26</v>
      </c>
      <c r="C143" s="5">
        <v>30.188991473564947</v>
      </c>
      <c r="D143" s="5">
        <f t="shared" si="14"/>
        <v>784.91377831268858</v>
      </c>
      <c r="E143" s="5">
        <f t="shared" si="15"/>
        <v>676</v>
      </c>
      <c r="F143" s="5">
        <f t="shared" si="16"/>
        <v>28.067685316703795</v>
      </c>
      <c r="G143" s="5">
        <f t="shared" si="17"/>
        <v>4.8840091278255571</v>
      </c>
      <c r="H143" s="5">
        <f t="shared" si="18"/>
        <v>23.85354516068336</v>
      </c>
      <c r="I143" s="5">
        <f t="shared" si="19"/>
        <v>7.0053152846867093</v>
      </c>
      <c r="J143" s="5">
        <f t="shared" si="20"/>
        <v>49.074442237865227</v>
      </c>
    </row>
    <row r="144" spans="2:10" x14ac:dyDescent="0.3">
      <c r="B144" s="5">
        <v>30</v>
      </c>
      <c r="C144" s="5">
        <v>29.302737765142982</v>
      </c>
      <c r="D144" s="5">
        <f t="shared" si="14"/>
        <v>879.08213295428948</v>
      </c>
      <c r="E144" s="5">
        <f t="shared" si="15"/>
        <v>900</v>
      </c>
      <c r="F144" s="5">
        <f t="shared" si="16"/>
        <v>31.044124707709173</v>
      </c>
      <c r="G144" s="5">
        <f t="shared" si="17"/>
        <v>7.8604485188309354</v>
      </c>
      <c r="H144" s="5">
        <f t="shared" si="18"/>
        <v>61.786650917191444</v>
      </c>
      <c r="I144" s="5">
        <f t="shared" si="19"/>
        <v>6.1190615762647447</v>
      </c>
      <c r="J144" s="5">
        <f t="shared" si="20"/>
        <v>37.442914574119584</v>
      </c>
    </row>
    <row r="145" spans="2:10" x14ac:dyDescent="0.3">
      <c r="B145" s="5">
        <v>18</v>
      </c>
      <c r="C145" s="5">
        <v>23.560893124131027</v>
      </c>
      <c r="D145" s="5">
        <f t="shared" si="14"/>
        <v>424.09607623435852</v>
      </c>
      <c r="E145" s="5">
        <f t="shared" si="15"/>
        <v>324</v>
      </c>
      <c r="F145" s="5">
        <f t="shared" si="16"/>
        <v>22.114806534693045</v>
      </c>
      <c r="G145" s="5">
        <f t="shared" si="17"/>
        <v>-1.0688696541851925</v>
      </c>
      <c r="H145" s="5">
        <f t="shared" si="18"/>
        <v>1.1424823376379731</v>
      </c>
      <c r="I145" s="5">
        <f t="shared" si="19"/>
        <v>0.37721693525278965</v>
      </c>
      <c r="J145" s="5">
        <f t="shared" si="20"/>
        <v>0.1422926162415073</v>
      </c>
    </row>
    <row r="146" spans="2:10" x14ac:dyDescent="0.3">
      <c r="B146" s="5">
        <v>10</v>
      </c>
      <c r="C146" s="5">
        <v>15.448986983613853</v>
      </c>
      <c r="D146" s="5">
        <f t="shared" si="14"/>
        <v>154.48986983613852</v>
      </c>
      <c r="E146" s="5">
        <f t="shared" si="15"/>
        <v>100</v>
      </c>
      <c r="F146" s="5">
        <f t="shared" si="16"/>
        <v>16.161927752682296</v>
      </c>
      <c r="G146" s="5">
        <f t="shared" si="17"/>
        <v>-7.0217484361959421</v>
      </c>
      <c r="H146" s="5">
        <f t="shared" si="18"/>
        <v>49.304951101220162</v>
      </c>
      <c r="I146" s="5">
        <f t="shared" si="19"/>
        <v>-7.7346892052643845</v>
      </c>
      <c r="J146" s="5">
        <f t="shared" si="20"/>
        <v>59.825417102033398</v>
      </c>
    </row>
    <row r="147" spans="2:10" x14ac:dyDescent="0.3">
      <c r="B147" s="5">
        <v>15</v>
      </c>
      <c r="C147" s="5">
        <v>17.2842784925563</v>
      </c>
      <c r="D147" s="5">
        <f t="shared" si="14"/>
        <v>259.26417738834448</v>
      </c>
      <c r="E147" s="5">
        <f t="shared" si="15"/>
        <v>225</v>
      </c>
      <c r="F147" s="5">
        <f t="shared" si="16"/>
        <v>19.882476991439013</v>
      </c>
      <c r="G147" s="5">
        <f t="shared" si="17"/>
        <v>-3.3011991974392245</v>
      </c>
      <c r="H147" s="5">
        <f t="shared" si="18"/>
        <v>10.897916141173381</v>
      </c>
      <c r="I147" s="5">
        <f t="shared" si="19"/>
        <v>-5.8993976963219374</v>
      </c>
      <c r="J147" s="5">
        <f t="shared" si="20"/>
        <v>34.802893179368581</v>
      </c>
    </row>
    <row r="148" spans="2:10" x14ac:dyDescent="0.3">
      <c r="B148" s="5">
        <v>22</v>
      </c>
      <c r="C148" s="5">
        <v>22.269403608025129</v>
      </c>
      <c r="D148" s="5">
        <f t="shared" si="14"/>
        <v>489.92687937655285</v>
      </c>
      <c r="E148" s="5">
        <f t="shared" si="15"/>
        <v>484</v>
      </c>
      <c r="F148" s="5">
        <f t="shared" si="16"/>
        <v>25.091245925698423</v>
      </c>
      <c r="G148" s="5">
        <f t="shared" si="17"/>
        <v>1.9075697368201858</v>
      </c>
      <c r="H148" s="5">
        <f t="shared" si="18"/>
        <v>3.6388223008322331</v>
      </c>
      <c r="I148" s="5">
        <f t="shared" si="19"/>
        <v>-0.91427258085310825</v>
      </c>
      <c r="J148" s="5">
        <f t="shared" si="20"/>
        <v>0.83589435209980334</v>
      </c>
    </row>
    <row r="149" spans="2:10" x14ac:dyDescent="0.3">
      <c r="B149" s="5">
        <v>24</v>
      </c>
      <c r="C149" s="5">
        <v>27.97762505715594</v>
      </c>
      <c r="D149" s="5">
        <f t="shared" si="14"/>
        <v>671.46300137174262</v>
      </c>
      <c r="E149" s="5">
        <f t="shared" si="15"/>
        <v>576</v>
      </c>
      <c r="F149" s="5">
        <f t="shared" si="16"/>
        <v>26.579465621201109</v>
      </c>
      <c r="G149" s="5">
        <f t="shared" si="17"/>
        <v>3.3957894323228714</v>
      </c>
      <c r="H149" s="5">
        <f t="shared" si="18"/>
        <v>11.53138586867569</v>
      </c>
      <c r="I149" s="5">
        <f t="shared" si="19"/>
        <v>4.7939488682777025</v>
      </c>
      <c r="J149" s="5">
        <f t="shared" si="20"/>
        <v>22.981945751661065</v>
      </c>
    </row>
    <row r="150" spans="2:10" x14ac:dyDescent="0.3">
      <c r="B150" s="5">
        <v>12</v>
      </c>
      <c r="C150" s="5">
        <v>14.634999635600765</v>
      </c>
      <c r="D150" s="5">
        <f t="shared" si="14"/>
        <v>175.61999562720919</v>
      </c>
      <c r="E150" s="5">
        <f t="shared" si="15"/>
        <v>144</v>
      </c>
      <c r="F150" s="5">
        <f t="shared" si="16"/>
        <v>17.650147448184981</v>
      </c>
      <c r="G150" s="5">
        <f t="shared" si="17"/>
        <v>-5.5335287406932565</v>
      </c>
      <c r="H150" s="5">
        <f t="shared" si="18"/>
        <v>30.619940324078296</v>
      </c>
      <c r="I150" s="5">
        <f t="shared" si="19"/>
        <v>-8.5486765532774722</v>
      </c>
      <c r="J150" s="5">
        <f t="shared" si="20"/>
        <v>73.079870812555995</v>
      </c>
    </row>
    <row r="151" spans="2:10" x14ac:dyDescent="0.3">
      <c r="B151" s="5">
        <v>15</v>
      </c>
      <c r="C151" s="5">
        <v>21.191585728045034</v>
      </c>
      <c r="D151" s="5">
        <f t="shared" si="14"/>
        <v>317.87378592067552</v>
      </c>
      <c r="E151" s="5">
        <f t="shared" si="15"/>
        <v>225</v>
      </c>
      <c r="F151" s="5">
        <f t="shared" si="16"/>
        <v>19.882476991439013</v>
      </c>
      <c r="G151" s="5">
        <f t="shared" si="17"/>
        <v>-3.3011991974392245</v>
      </c>
      <c r="H151" s="5">
        <f t="shared" si="18"/>
        <v>10.897916141173381</v>
      </c>
      <c r="I151" s="5">
        <f t="shared" si="19"/>
        <v>-1.9920904608332037</v>
      </c>
      <c r="J151" s="5">
        <f t="shared" si="20"/>
        <v>3.9684244041426462</v>
      </c>
    </row>
    <row r="152" spans="2:10" x14ac:dyDescent="0.3">
      <c r="B152" s="5">
        <v>19</v>
      </c>
      <c r="C152" s="5">
        <v>21.774576485522456</v>
      </c>
      <c r="D152" s="5">
        <f t="shared" si="14"/>
        <v>413.71695322492667</v>
      </c>
      <c r="E152" s="5">
        <f t="shared" si="15"/>
        <v>361</v>
      </c>
      <c r="F152" s="5">
        <f t="shared" si="16"/>
        <v>22.858916382444392</v>
      </c>
      <c r="G152" s="5">
        <f t="shared" si="17"/>
        <v>-0.32475980643384617</v>
      </c>
      <c r="H152" s="5">
        <f t="shared" si="18"/>
        <v>0.10546893187494923</v>
      </c>
      <c r="I152" s="5">
        <f t="shared" si="19"/>
        <v>-1.4090997033557819</v>
      </c>
      <c r="J152" s="5">
        <f t="shared" si="20"/>
        <v>1.9855619739973527</v>
      </c>
    </row>
    <row r="153" spans="2:10" x14ac:dyDescent="0.3">
      <c r="B153" s="5">
        <v>19</v>
      </c>
      <c r="C153" s="5">
        <v>25.040597357097742</v>
      </c>
      <c r="D153" s="5">
        <f t="shared" si="14"/>
        <v>475.77134978485708</v>
      </c>
      <c r="E153" s="5">
        <f t="shared" si="15"/>
        <v>361</v>
      </c>
      <c r="F153" s="5">
        <f t="shared" si="16"/>
        <v>22.858916382444392</v>
      </c>
      <c r="G153" s="5">
        <f t="shared" si="17"/>
        <v>-0.32475980643384617</v>
      </c>
      <c r="H153" s="5">
        <f t="shared" si="18"/>
        <v>0.10546893187494923</v>
      </c>
      <c r="I153" s="5">
        <f t="shared" si="19"/>
        <v>1.8569211682195039</v>
      </c>
      <c r="J153" s="5">
        <f t="shared" si="20"/>
        <v>3.4481562249816871</v>
      </c>
    </row>
    <row r="154" spans="2:10" x14ac:dyDescent="0.3">
      <c r="B154" s="5">
        <v>16</v>
      </c>
      <c r="C154" s="5">
        <v>23.386995238981161</v>
      </c>
      <c r="D154" s="5">
        <f t="shared" si="14"/>
        <v>374.19192382369857</v>
      </c>
      <c r="E154" s="5">
        <f t="shared" si="15"/>
        <v>256</v>
      </c>
      <c r="F154" s="5">
        <f t="shared" si="16"/>
        <v>20.62658683919036</v>
      </c>
      <c r="G154" s="5">
        <f t="shared" si="17"/>
        <v>-2.5570893496878782</v>
      </c>
      <c r="H154" s="5">
        <f t="shared" si="18"/>
        <v>6.5387059422871756</v>
      </c>
      <c r="I154" s="5">
        <f t="shared" si="19"/>
        <v>0.20331905010292317</v>
      </c>
      <c r="J154" s="5">
        <f t="shared" si="20"/>
        <v>4.1338636134754983E-2</v>
      </c>
    </row>
    <row r="155" spans="2:10" x14ac:dyDescent="0.3">
      <c r="B155" s="5">
        <v>13</v>
      </c>
      <c r="C155" s="5">
        <v>21.826599500265306</v>
      </c>
      <c r="D155" s="5">
        <f t="shared" si="14"/>
        <v>283.74579350344897</v>
      </c>
      <c r="E155" s="5">
        <f t="shared" si="15"/>
        <v>169</v>
      </c>
      <c r="F155" s="5">
        <f t="shared" si="16"/>
        <v>18.394257295936328</v>
      </c>
      <c r="G155" s="5">
        <f t="shared" si="17"/>
        <v>-4.7894188929419101</v>
      </c>
      <c r="H155" s="5">
        <f t="shared" si="18"/>
        <v>22.938533332068911</v>
      </c>
      <c r="I155" s="5">
        <f t="shared" si="19"/>
        <v>-1.3570766886129313</v>
      </c>
      <c r="J155" s="5">
        <f t="shared" si="20"/>
        <v>1.8416571387766389</v>
      </c>
    </row>
    <row r="156" spans="2:10" x14ac:dyDescent="0.3">
      <c r="B156" s="5">
        <v>18</v>
      </c>
      <c r="C156" s="5">
        <v>25.251885942934269</v>
      </c>
      <c r="D156" s="5">
        <f t="shared" si="14"/>
        <v>454.53394697281686</v>
      </c>
      <c r="E156" s="5">
        <f t="shared" si="15"/>
        <v>324</v>
      </c>
      <c r="F156" s="5">
        <f t="shared" si="16"/>
        <v>22.114806534693045</v>
      </c>
      <c r="G156" s="5">
        <f t="shared" si="17"/>
        <v>-1.0688696541851925</v>
      </c>
      <c r="H156" s="5">
        <f t="shared" si="18"/>
        <v>1.1424823376379731</v>
      </c>
      <c r="I156" s="5">
        <f t="shared" si="19"/>
        <v>2.0682097540560314</v>
      </c>
      <c r="J156" s="5">
        <f t="shared" si="20"/>
        <v>4.2774915867725101</v>
      </c>
    </row>
    <row r="157" spans="2:10" x14ac:dyDescent="0.3">
      <c r="B157" s="5">
        <v>27</v>
      </c>
      <c r="C157" s="5">
        <v>25.904286473158749</v>
      </c>
      <c r="D157" s="5">
        <f t="shared" si="14"/>
        <v>699.41573477528618</v>
      </c>
      <c r="E157" s="5">
        <f t="shared" si="15"/>
        <v>729</v>
      </c>
      <c r="F157" s="5">
        <f t="shared" si="16"/>
        <v>28.811795164455141</v>
      </c>
      <c r="G157" s="5">
        <f t="shared" si="17"/>
        <v>5.6281189755769034</v>
      </c>
      <c r="H157" s="5">
        <f t="shared" si="18"/>
        <v>31.675723203248815</v>
      </c>
      <c r="I157" s="5">
        <f t="shared" si="19"/>
        <v>2.7206102842805109</v>
      </c>
      <c r="J157" s="5">
        <f t="shared" si="20"/>
        <v>7.401720318932882</v>
      </c>
    </row>
    <row r="158" spans="2:10" x14ac:dyDescent="0.3">
      <c r="B158" s="5">
        <v>18</v>
      </c>
      <c r="C158" s="5">
        <v>21.353778260706406</v>
      </c>
      <c r="D158" s="5">
        <f t="shared" si="14"/>
        <v>384.36800869271531</v>
      </c>
      <c r="E158" s="5">
        <f t="shared" si="15"/>
        <v>324</v>
      </c>
      <c r="F158" s="5">
        <f t="shared" si="16"/>
        <v>22.114806534693045</v>
      </c>
      <c r="G158" s="5">
        <f t="shared" si="17"/>
        <v>-1.0688696541851925</v>
      </c>
      <c r="H158" s="5">
        <f t="shared" si="18"/>
        <v>1.1424823376379731</v>
      </c>
      <c r="I158" s="5">
        <f t="shared" si="19"/>
        <v>-1.8298979281718317</v>
      </c>
      <c r="J158" s="5">
        <f t="shared" si="20"/>
        <v>3.3485264275275624</v>
      </c>
    </row>
    <row r="159" spans="2:10" x14ac:dyDescent="0.3">
      <c r="B159" s="5">
        <v>25</v>
      </c>
      <c r="C159" s="5">
        <v>26.673946133159394</v>
      </c>
      <c r="D159" s="5">
        <f t="shared" si="14"/>
        <v>666.84865332898482</v>
      </c>
      <c r="E159" s="5">
        <f t="shared" si="15"/>
        <v>625</v>
      </c>
      <c r="F159" s="5">
        <f t="shared" si="16"/>
        <v>27.323575468952455</v>
      </c>
      <c r="G159" s="5">
        <f t="shared" si="17"/>
        <v>4.1398992800742178</v>
      </c>
      <c r="H159" s="5">
        <f t="shared" si="18"/>
        <v>17.138766049159027</v>
      </c>
      <c r="I159" s="5">
        <f t="shared" si="19"/>
        <v>3.490269944281156</v>
      </c>
      <c r="J159" s="5">
        <f t="shared" si="20"/>
        <v>12.181984283952383</v>
      </c>
    </row>
    <row r="160" spans="2:10" x14ac:dyDescent="0.3">
      <c r="B160" s="5">
        <v>16</v>
      </c>
      <c r="C160" s="5">
        <v>23.367761236965588</v>
      </c>
      <c r="D160" s="5">
        <f t="shared" si="14"/>
        <v>373.88417979144941</v>
      </c>
      <c r="E160" s="5">
        <f t="shared" si="15"/>
        <v>256</v>
      </c>
      <c r="F160" s="5">
        <f t="shared" si="16"/>
        <v>20.62658683919036</v>
      </c>
      <c r="G160" s="5">
        <f t="shared" si="17"/>
        <v>-2.5570893496878782</v>
      </c>
      <c r="H160" s="5">
        <f t="shared" si="18"/>
        <v>6.5387059422871756</v>
      </c>
      <c r="I160" s="5">
        <f t="shared" si="19"/>
        <v>0.1840850480873506</v>
      </c>
      <c r="J160" s="5">
        <f t="shared" si="20"/>
        <v>3.3887304929322182E-2</v>
      </c>
    </row>
    <row r="161" spans="2:10" x14ac:dyDescent="0.3">
      <c r="B161" s="5">
        <v>23</v>
      </c>
      <c r="C161" s="5">
        <v>26.54366892072575</v>
      </c>
      <c r="D161" s="5">
        <f t="shared" si="14"/>
        <v>610.50438517669227</v>
      </c>
      <c r="E161" s="5">
        <f t="shared" si="15"/>
        <v>529</v>
      </c>
      <c r="F161" s="5">
        <f t="shared" si="16"/>
        <v>25.835355773449763</v>
      </c>
      <c r="G161" s="5">
        <f t="shared" si="17"/>
        <v>2.6516795845715251</v>
      </c>
      <c r="H161" s="5">
        <f t="shared" si="18"/>
        <v>7.0314046192334159</v>
      </c>
      <c r="I161" s="5">
        <f t="shared" si="19"/>
        <v>3.3599927318475125</v>
      </c>
      <c r="J161" s="5">
        <f t="shared" si="20"/>
        <v>11.289551158068109</v>
      </c>
    </row>
    <row r="162" spans="2:10" x14ac:dyDescent="0.3">
      <c r="B162" s="5">
        <v>24</v>
      </c>
      <c r="C162" s="5">
        <v>24.102950337552944</v>
      </c>
      <c r="D162" s="5">
        <f t="shared" si="14"/>
        <v>578.47080810127068</v>
      </c>
      <c r="E162" s="5">
        <f t="shared" si="15"/>
        <v>576</v>
      </c>
      <c r="F162" s="5">
        <f t="shared" si="16"/>
        <v>26.579465621201109</v>
      </c>
      <c r="G162" s="5">
        <f t="shared" si="17"/>
        <v>3.3957894323228714</v>
      </c>
      <c r="H162" s="5">
        <f t="shared" si="18"/>
        <v>11.53138586867569</v>
      </c>
      <c r="I162" s="5">
        <f t="shared" si="19"/>
        <v>0.91927414867470603</v>
      </c>
      <c r="J162" s="5">
        <f t="shared" si="20"/>
        <v>0.8450649604216055</v>
      </c>
    </row>
    <row r="163" spans="2:10" x14ac:dyDescent="0.3">
      <c r="B163" s="5">
        <v>20</v>
      </c>
      <c r="C163" s="5">
        <v>24.616616265628974</v>
      </c>
      <c r="D163" s="5">
        <f t="shared" si="14"/>
        <v>492.33232531257948</v>
      </c>
      <c r="E163" s="5">
        <f t="shared" si="15"/>
        <v>400</v>
      </c>
      <c r="F163" s="5">
        <f t="shared" si="16"/>
        <v>23.603026230195731</v>
      </c>
      <c r="G163" s="5">
        <f t="shared" si="17"/>
        <v>0.41935004131749309</v>
      </c>
      <c r="H163" s="5">
        <f t="shared" si="18"/>
        <v>0.17585445715298317</v>
      </c>
      <c r="I163" s="5">
        <f t="shared" si="19"/>
        <v>1.4329400767507359</v>
      </c>
      <c r="J163" s="5">
        <f t="shared" si="20"/>
        <v>2.0533172635584047</v>
      </c>
    </row>
    <row r="164" spans="2:10" x14ac:dyDescent="0.3">
      <c r="B164" s="5">
        <v>17</v>
      </c>
      <c r="C164" s="5">
        <v>19.617049349017332</v>
      </c>
      <c r="D164" s="5">
        <f t="shared" si="14"/>
        <v>333.48983893329466</v>
      </c>
      <c r="E164" s="5">
        <f t="shared" si="15"/>
        <v>289</v>
      </c>
      <c r="F164" s="5">
        <f t="shared" si="16"/>
        <v>21.370696686941702</v>
      </c>
      <c r="G164" s="5">
        <f t="shared" si="17"/>
        <v>-1.8129795019365353</v>
      </c>
      <c r="H164" s="5">
        <f t="shared" si="18"/>
        <v>3.2868946744420477</v>
      </c>
      <c r="I164" s="5">
        <f t="shared" si="19"/>
        <v>-3.5666268398609056</v>
      </c>
      <c r="J164" s="5">
        <f t="shared" si="20"/>
        <v>12.720827014816189</v>
      </c>
    </row>
    <row r="165" spans="2:10" x14ac:dyDescent="0.3">
      <c r="B165" s="5">
        <v>15</v>
      </c>
      <c r="C165" s="5">
        <v>16.652657247894332</v>
      </c>
      <c r="D165" s="5">
        <f t="shared" si="14"/>
        <v>249.78985871841499</v>
      </c>
      <c r="E165" s="5">
        <f t="shared" si="15"/>
        <v>225</v>
      </c>
      <c r="F165" s="5">
        <f t="shared" si="16"/>
        <v>19.882476991439013</v>
      </c>
      <c r="G165" s="5">
        <f t="shared" si="17"/>
        <v>-3.3011991974392245</v>
      </c>
      <c r="H165" s="5">
        <f t="shared" si="18"/>
        <v>10.897916141173381</v>
      </c>
      <c r="I165" s="5">
        <f t="shared" si="19"/>
        <v>-6.5310189409839055</v>
      </c>
      <c r="J165" s="5">
        <f t="shared" si="20"/>
        <v>42.654208407490536</v>
      </c>
    </row>
    <row r="166" spans="2:10" x14ac:dyDescent="0.3">
      <c r="B166" s="5">
        <v>17</v>
      </c>
      <c r="C166" s="5">
        <v>20.26710861772354</v>
      </c>
      <c r="D166" s="5">
        <f t="shared" si="14"/>
        <v>344.54084650130017</v>
      </c>
      <c r="E166" s="5">
        <f t="shared" si="15"/>
        <v>289</v>
      </c>
      <c r="F166" s="5">
        <f t="shared" si="16"/>
        <v>21.370696686941702</v>
      </c>
      <c r="G166" s="5">
        <f t="shared" si="17"/>
        <v>-1.8129795019365353</v>
      </c>
      <c r="H166" s="5">
        <f t="shared" si="18"/>
        <v>3.2868946744420477</v>
      </c>
      <c r="I166" s="5">
        <f t="shared" si="19"/>
        <v>-2.9165675711546974</v>
      </c>
      <c r="J166" s="5">
        <f t="shared" si="20"/>
        <v>8.5063663971112113</v>
      </c>
    </row>
    <row r="167" spans="2:10" x14ac:dyDescent="0.3">
      <c r="B167" s="5">
        <v>23</v>
      </c>
      <c r="C167" s="5">
        <v>23.865906288117106</v>
      </c>
      <c r="D167" s="5">
        <f t="shared" si="14"/>
        <v>548.91584462669346</v>
      </c>
      <c r="E167" s="5">
        <f t="shared" si="15"/>
        <v>529</v>
      </c>
      <c r="F167" s="5">
        <f t="shared" si="16"/>
        <v>25.835355773449763</v>
      </c>
      <c r="G167" s="5">
        <f t="shared" si="17"/>
        <v>2.6516795845715251</v>
      </c>
      <c r="H167" s="5">
        <f t="shared" si="18"/>
        <v>7.0314046192334159</v>
      </c>
      <c r="I167" s="5">
        <f t="shared" si="19"/>
        <v>0.68223009923886835</v>
      </c>
      <c r="J167" s="5">
        <f t="shared" si="20"/>
        <v>0.46543790830747617</v>
      </c>
    </row>
    <row r="168" spans="2:10" x14ac:dyDescent="0.3">
      <c r="B168" s="5">
        <v>19</v>
      </c>
      <c r="C168" s="5">
        <v>21.97980089321581</v>
      </c>
      <c r="D168" s="5">
        <f t="shared" si="14"/>
        <v>417.61621697110036</v>
      </c>
      <c r="E168" s="5">
        <f t="shared" si="15"/>
        <v>361</v>
      </c>
      <c r="F168" s="5">
        <f t="shared" si="16"/>
        <v>22.858916382444392</v>
      </c>
      <c r="G168" s="5">
        <f t="shared" si="17"/>
        <v>-0.32475980643384617</v>
      </c>
      <c r="H168" s="5">
        <f t="shared" si="18"/>
        <v>0.10546893187494923</v>
      </c>
      <c r="I168" s="5">
        <f t="shared" si="19"/>
        <v>-1.2038752956624279</v>
      </c>
      <c r="J168" s="5">
        <f t="shared" si="20"/>
        <v>1.4493157275062982</v>
      </c>
    </row>
    <row r="169" spans="2:10" x14ac:dyDescent="0.3">
      <c r="B169" s="5">
        <v>25</v>
      </c>
      <c r="C169" s="5">
        <v>27.606000702175191</v>
      </c>
      <c r="D169" s="5">
        <f t="shared" si="14"/>
        <v>690.15001755437982</v>
      </c>
      <c r="E169" s="5">
        <f t="shared" si="15"/>
        <v>625</v>
      </c>
      <c r="F169" s="5">
        <f t="shared" si="16"/>
        <v>27.323575468952455</v>
      </c>
      <c r="G169" s="5">
        <f t="shared" si="17"/>
        <v>4.1398992800742178</v>
      </c>
      <c r="H169" s="5">
        <f t="shared" si="18"/>
        <v>17.138766049159027</v>
      </c>
      <c r="I169" s="5">
        <f t="shared" si="19"/>
        <v>4.4223245132969531</v>
      </c>
      <c r="J169" s="5">
        <f t="shared" si="20"/>
        <v>19.556954100907134</v>
      </c>
    </row>
    <row r="170" spans="2:10" x14ac:dyDescent="0.3">
      <c r="B170" s="5">
        <v>26</v>
      </c>
      <c r="C170" s="5">
        <v>29.029937613253725</v>
      </c>
      <c r="D170" s="5">
        <f t="shared" si="14"/>
        <v>754.77837794459685</v>
      </c>
      <c r="E170" s="5">
        <f t="shared" si="15"/>
        <v>676</v>
      </c>
      <c r="F170" s="5">
        <f t="shared" si="16"/>
        <v>28.067685316703795</v>
      </c>
      <c r="G170" s="5">
        <f t="shared" si="17"/>
        <v>4.8840091278255571</v>
      </c>
      <c r="H170" s="5">
        <f t="shared" si="18"/>
        <v>23.85354516068336</v>
      </c>
      <c r="I170" s="5">
        <f t="shared" si="19"/>
        <v>5.8462614243754878</v>
      </c>
      <c r="J170" s="5">
        <f t="shared" si="20"/>
        <v>34.178772642140906</v>
      </c>
    </row>
    <row r="171" spans="2:10" x14ac:dyDescent="0.3">
      <c r="B171" s="5">
        <v>12</v>
      </c>
      <c r="C171" s="5">
        <v>16.551701878894377</v>
      </c>
      <c r="D171" s="5">
        <f t="shared" si="14"/>
        <v>198.62042254673253</v>
      </c>
      <c r="E171" s="5">
        <f t="shared" si="15"/>
        <v>144</v>
      </c>
      <c r="F171" s="5">
        <f t="shared" si="16"/>
        <v>17.650147448184981</v>
      </c>
      <c r="G171" s="5">
        <f t="shared" si="17"/>
        <v>-5.5335287406932565</v>
      </c>
      <c r="H171" s="5">
        <f t="shared" si="18"/>
        <v>30.619940324078296</v>
      </c>
      <c r="I171" s="5">
        <f t="shared" si="19"/>
        <v>-6.6319743099838604</v>
      </c>
      <c r="J171" s="5">
        <f t="shared" si="20"/>
        <v>43.983083248285901</v>
      </c>
    </row>
    <row r="172" spans="2:10" x14ac:dyDescent="0.3">
      <c r="B172" s="5">
        <v>19</v>
      </c>
      <c r="C172" s="5">
        <v>23.693511373298087</v>
      </c>
      <c r="D172" s="5">
        <f t="shared" si="14"/>
        <v>450.17671609266364</v>
      </c>
      <c r="E172" s="5">
        <f t="shared" si="15"/>
        <v>361</v>
      </c>
      <c r="F172" s="5">
        <f t="shared" si="16"/>
        <v>22.858916382444392</v>
      </c>
      <c r="G172" s="5">
        <f t="shared" si="17"/>
        <v>-0.32475980643384617</v>
      </c>
      <c r="H172" s="5">
        <f t="shared" si="18"/>
        <v>0.10546893187494923</v>
      </c>
      <c r="I172" s="5">
        <f t="shared" si="19"/>
        <v>0.50983518441984899</v>
      </c>
      <c r="J172" s="5">
        <f t="shared" si="20"/>
        <v>0.25993191527242143</v>
      </c>
    </row>
    <row r="173" spans="2:10" x14ac:dyDescent="0.3">
      <c r="B173" s="5">
        <v>21</v>
      </c>
      <c r="C173" s="5">
        <v>22.199974986435041</v>
      </c>
      <c r="D173" s="5">
        <f t="shared" si="14"/>
        <v>466.19947471513586</v>
      </c>
      <c r="E173" s="5">
        <f t="shared" si="15"/>
        <v>441</v>
      </c>
      <c r="F173" s="5">
        <f t="shared" si="16"/>
        <v>24.347136077947077</v>
      </c>
      <c r="G173" s="5">
        <f t="shared" si="17"/>
        <v>1.1634598890688395</v>
      </c>
      <c r="H173" s="5">
        <f t="shared" si="18"/>
        <v>1.3536389134720763</v>
      </c>
      <c r="I173" s="5">
        <f t="shared" si="19"/>
        <v>-0.98370120244319637</v>
      </c>
      <c r="J173" s="5">
        <f t="shared" si="20"/>
        <v>0.96766805568819036</v>
      </c>
    </row>
    <row r="174" spans="2:10" x14ac:dyDescent="0.3">
      <c r="B174" s="5">
        <v>29</v>
      </c>
      <c r="C174" s="5">
        <v>30.227838429432229</v>
      </c>
      <c r="D174" s="5">
        <f t="shared" si="14"/>
        <v>876.60731445353463</v>
      </c>
      <c r="E174" s="5">
        <f t="shared" si="15"/>
        <v>841</v>
      </c>
      <c r="F174" s="5">
        <f t="shared" si="16"/>
        <v>30.300014859957827</v>
      </c>
      <c r="G174" s="5">
        <f t="shared" si="17"/>
        <v>7.1163386710795891</v>
      </c>
      <c r="H174" s="5">
        <f t="shared" si="18"/>
        <v>50.642276081502814</v>
      </c>
      <c r="I174" s="5">
        <f t="shared" si="19"/>
        <v>7.044162240553991</v>
      </c>
      <c r="J174" s="5">
        <f t="shared" si="20"/>
        <v>49.620221671246625</v>
      </c>
    </row>
    <row r="175" spans="2:10" x14ac:dyDescent="0.3">
      <c r="B175" s="5">
        <v>14</v>
      </c>
      <c r="C175" s="5">
        <v>16.232030836284007</v>
      </c>
      <c r="D175" s="5">
        <f t="shared" si="14"/>
        <v>227.2484317079761</v>
      </c>
      <c r="E175" s="5">
        <f t="shared" si="15"/>
        <v>196</v>
      </c>
      <c r="F175" s="5">
        <f t="shared" si="16"/>
        <v>19.13836714368767</v>
      </c>
      <c r="G175" s="5">
        <f t="shared" si="17"/>
        <v>-4.0453090451905673</v>
      </c>
      <c r="H175" s="5">
        <f t="shared" si="18"/>
        <v>16.364525271100618</v>
      </c>
      <c r="I175" s="5">
        <f t="shared" si="19"/>
        <v>-6.9516453525942303</v>
      </c>
      <c r="J175" s="5">
        <f t="shared" si="20"/>
        <v>48.32537310824496</v>
      </c>
    </row>
    <row r="176" spans="2:10" x14ac:dyDescent="0.3">
      <c r="B176" s="5">
        <v>15</v>
      </c>
      <c r="C176" s="5">
        <v>21.180719499862061</v>
      </c>
      <c r="D176" s="5">
        <f t="shared" si="14"/>
        <v>317.71079249793092</v>
      </c>
      <c r="E176" s="5">
        <f t="shared" si="15"/>
        <v>225</v>
      </c>
      <c r="F176" s="5">
        <f t="shared" si="16"/>
        <v>19.882476991439013</v>
      </c>
      <c r="G176" s="5">
        <f t="shared" si="17"/>
        <v>-3.3011991974392245</v>
      </c>
      <c r="H176" s="5">
        <f t="shared" si="18"/>
        <v>10.897916141173381</v>
      </c>
      <c r="I176" s="5">
        <f t="shared" si="19"/>
        <v>-2.0029566890161767</v>
      </c>
      <c r="J176" s="5">
        <f t="shared" si="20"/>
        <v>4.0118354980746451</v>
      </c>
    </row>
    <row r="177" spans="2:10" x14ac:dyDescent="0.3">
      <c r="B177" s="5">
        <v>26</v>
      </c>
      <c r="C177" s="5">
        <v>29.304231148142954</v>
      </c>
      <c r="D177" s="5">
        <f t="shared" si="14"/>
        <v>761.91000985171684</v>
      </c>
      <c r="E177" s="5">
        <f t="shared" si="15"/>
        <v>676</v>
      </c>
      <c r="F177" s="5">
        <f t="shared" si="16"/>
        <v>28.067685316703795</v>
      </c>
      <c r="G177" s="5">
        <f t="shared" si="17"/>
        <v>4.8840091278255571</v>
      </c>
      <c r="H177" s="5">
        <f t="shared" si="18"/>
        <v>23.85354516068336</v>
      </c>
      <c r="I177" s="5">
        <f t="shared" si="19"/>
        <v>6.1205549592647159</v>
      </c>
      <c r="J177" s="5">
        <f t="shared" si="20"/>
        <v>37.461193009379912</v>
      </c>
    </row>
    <row r="178" spans="2:10" x14ac:dyDescent="0.3">
      <c r="B178" s="5">
        <v>17</v>
      </c>
      <c r="C178" s="5">
        <v>19.270921952228953</v>
      </c>
      <c r="D178" s="5">
        <f t="shared" si="14"/>
        <v>327.60567318789219</v>
      </c>
      <c r="E178" s="5">
        <f t="shared" si="15"/>
        <v>289</v>
      </c>
      <c r="F178" s="5">
        <f t="shared" si="16"/>
        <v>21.370696686941702</v>
      </c>
      <c r="G178" s="5">
        <f t="shared" si="17"/>
        <v>-1.8129795019365353</v>
      </c>
      <c r="H178" s="5">
        <f t="shared" si="18"/>
        <v>3.2868946744420477</v>
      </c>
      <c r="I178" s="5">
        <f t="shared" si="19"/>
        <v>-3.9127542366492847</v>
      </c>
      <c r="J178" s="5">
        <f t="shared" si="20"/>
        <v>15.309645716416927</v>
      </c>
    </row>
    <row r="179" spans="2:10" x14ac:dyDescent="0.3">
      <c r="B179" s="5">
        <v>19</v>
      </c>
      <c r="C179" s="5">
        <v>21.337496621920018</v>
      </c>
      <c r="D179" s="5">
        <f t="shared" si="14"/>
        <v>405.41243581648035</v>
      </c>
      <c r="E179" s="5">
        <f t="shared" si="15"/>
        <v>361</v>
      </c>
      <c r="F179" s="5">
        <f t="shared" si="16"/>
        <v>22.858916382444392</v>
      </c>
      <c r="G179" s="5">
        <f t="shared" si="17"/>
        <v>-0.32475980643384617</v>
      </c>
      <c r="H179" s="5">
        <f t="shared" si="18"/>
        <v>0.10546893187494923</v>
      </c>
      <c r="I179" s="5">
        <f t="shared" si="19"/>
        <v>-1.8461795669582202</v>
      </c>
      <c r="J179" s="5">
        <f t="shared" si="20"/>
        <v>3.4083789934540412</v>
      </c>
    </row>
    <row r="180" spans="2:10" x14ac:dyDescent="0.3">
      <c r="B180" s="5">
        <v>19</v>
      </c>
      <c r="C180" s="5">
        <v>19.882261827165582</v>
      </c>
      <c r="D180" s="5">
        <f t="shared" si="14"/>
        <v>377.76297471614606</v>
      </c>
      <c r="E180" s="5">
        <f t="shared" si="15"/>
        <v>361</v>
      </c>
      <c r="F180" s="5">
        <f t="shared" si="16"/>
        <v>22.858916382444392</v>
      </c>
      <c r="G180" s="5">
        <f t="shared" si="17"/>
        <v>-0.32475980643384617</v>
      </c>
      <c r="H180" s="5">
        <f t="shared" si="18"/>
        <v>0.10546893187494923</v>
      </c>
      <c r="I180" s="5">
        <f t="shared" si="19"/>
        <v>-3.3014143617126557</v>
      </c>
      <c r="J180" s="5">
        <f t="shared" si="20"/>
        <v>10.899336787722582</v>
      </c>
    </row>
    <row r="181" spans="2:10" x14ac:dyDescent="0.3">
      <c r="B181" s="5">
        <v>14</v>
      </c>
      <c r="C181" s="5">
        <v>19.174081363648757</v>
      </c>
      <c r="D181" s="5">
        <f t="shared" si="14"/>
        <v>268.4371390910826</v>
      </c>
      <c r="E181" s="5">
        <f t="shared" si="15"/>
        <v>196</v>
      </c>
      <c r="F181" s="5">
        <f t="shared" si="16"/>
        <v>19.13836714368767</v>
      </c>
      <c r="G181" s="5">
        <f t="shared" si="17"/>
        <v>-4.0453090451905673</v>
      </c>
      <c r="H181" s="5">
        <f t="shared" si="18"/>
        <v>16.364525271100618</v>
      </c>
      <c r="I181" s="5">
        <f t="shared" si="19"/>
        <v>-4.0095948252294811</v>
      </c>
      <c r="J181" s="5">
        <f t="shared" si="20"/>
        <v>16.076850662507034</v>
      </c>
    </row>
    <row r="182" spans="2:10" x14ac:dyDescent="0.3">
      <c r="B182" s="5">
        <v>12</v>
      </c>
      <c r="C182" s="5">
        <v>17.410969342705418</v>
      </c>
      <c r="D182" s="5">
        <f t="shared" si="14"/>
        <v>208.93163211246502</v>
      </c>
      <c r="E182" s="5">
        <f t="shared" si="15"/>
        <v>144</v>
      </c>
      <c r="F182" s="5">
        <f t="shared" si="16"/>
        <v>17.650147448184981</v>
      </c>
      <c r="G182" s="5">
        <f t="shared" si="17"/>
        <v>-5.5335287406932565</v>
      </c>
      <c r="H182" s="5">
        <f t="shared" si="18"/>
        <v>30.619940324078296</v>
      </c>
      <c r="I182" s="5">
        <f t="shared" si="19"/>
        <v>-5.7727068461728201</v>
      </c>
      <c r="J182" s="5">
        <f t="shared" si="20"/>
        <v>33.324144331850547</v>
      </c>
    </row>
    <row r="183" spans="2:10" x14ac:dyDescent="0.3">
      <c r="B183" s="5">
        <v>24</v>
      </c>
      <c r="C183" s="5">
        <v>26.762871626732398</v>
      </c>
      <c r="D183" s="5">
        <f t="shared" si="14"/>
        <v>642.30891904157761</v>
      </c>
      <c r="E183" s="5">
        <f t="shared" si="15"/>
        <v>576</v>
      </c>
      <c r="F183" s="5">
        <f t="shared" si="16"/>
        <v>26.579465621201109</v>
      </c>
      <c r="G183" s="5">
        <f t="shared" si="17"/>
        <v>3.3957894323228714</v>
      </c>
      <c r="H183" s="5">
        <f t="shared" si="18"/>
        <v>11.53138586867569</v>
      </c>
      <c r="I183" s="5">
        <f t="shared" si="19"/>
        <v>3.5791954378541604</v>
      </c>
      <c r="J183" s="5">
        <f t="shared" si="20"/>
        <v>12.810639982356035</v>
      </c>
    </row>
    <row r="184" spans="2:10" x14ac:dyDescent="0.3">
      <c r="B184" s="5">
        <v>10</v>
      </c>
      <c r="C184" s="5">
        <v>19.126790289393441</v>
      </c>
      <c r="D184" s="5">
        <f t="shared" si="14"/>
        <v>191.26790289393441</v>
      </c>
      <c r="E184" s="5">
        <f t="shared" si="15"/>
        <v>100</v>
      </c>
      <c r="F184" s="5">
        <f t="shared" si="16"/>
        <v>16.161927752682296</v>
      </c>
      <c r="G184" s="5">
        <f t="shared" si="17"/>
        <v>-7.0217484361959421</v>
      </c>
      <c r="H184" s="5">
        <f t="shared" si="18"/>
        <v>49.304951101220162</v>
      </c>
      <c r="I184" s="5">
        <f t="shared" si="19"/>
        <v>-4.0568858994847972</v>
      </c>
      <c r="J184" s="5">
        <f t="shared" si="20"/>
        <v>16.458323201438571</v>
      </c>
    </row>
    <row r="185" spans="2:10" x14ac:dyDescent="0.3">
      <c r="B185" s="5">
        <v>18</v>
      </c>
      <c r="C185" s="5">
        <v>23.7750551684749</v>
      </c>
      <c r="D185" s="5">
        <f t="shared" si="14"/>
        <v>427.95099303254818</v>
      </c>
      <c r="E185" s="5">
        <f t="shared" si="15"/>
        <v>324</v>
      </c>
      <c r="F185" s="5">
        <f t="shared" si="16"/>
        <v>22.114806534693045</v>
      </c>
      <c r="G185" s="5">
        <f t="shared" si="17"/>
        <v>-1.0688696541851925</v>
      </c>
      <c r="H185" s="5">
        <f t="shared" si="18"/>
        <v>1.1424823376379731</v>
      </c>
      <c r="I185" s="5">
        <f t="shared" si="19"/>
        <v>0.59137897959666219</v>
      </c>
      <c r="J185" s="5">
        <f t="shared" si="20"/>
        <v>0.34972909750878939</v>
      </c>
    </row>
    <row r="186" spans="2:10" x14ac:dyDescent="0.3">
      <c r="B186" s="5">
        <v>28</v>
      </c>
      <c r="C186" s="5">
        <v>32.169450877802539</v>
      </c>
      <c r="D186" s="5">
        <f t="shared" si="14"/>
        <v>900.74462457847108</v>
      </c>
      <c r="E186" s="5">
        <f t="shared" si="15"/>
        <v>784</v>
      </c>
      <c r="F186" s="5">
        <f t="shared" si="16"/>
        <v>29.555905012206487</v>
      </c>
      <c r="G186" s="5">
        <f t="shared" si="17"/>
        <v>6.3722288233282498</v>
      </c>
      <c r="H186" s="5">
        <f t="shared" si="18"/>
        <v>40.60530017685533</v>
      </c>
      <c r="I186" s="5">
        <f t="shared" si="19"/>
        <v>8.9857746889243018</v>
      </c>
      <c r="J186" s="5">
        <f t="shared" si="20"/>
        <v>80.744146760112628</v>
      </c>
    </row>
    <row r="187" spans="2:10" x14ac:dyDescent="0.3">
      <c r="B187" s="5">
        <v>11</v>
      </c>
      <c r="C187" s="5">
        <v>16.37367304406893</v>
      </c>
      <c r="D187" s="5">
        <f t="shared" si="14"/>
        <v>180.11040348475822</v>
      </c>
      <c r="E187" s="5">
        <f t="shared" si="15"/>
        <v>121</v>
      </c>
      <c r="F187" s="5">
        <f t="shared" si="16"/>
        <v>16.906037600433638</v>
      </c>
      <c r="G187" s="5">
        <f t="shared" si="17"/>
        <v>-6.2776385884445993</v>
      </c>
      <c r="H187" s="5">
        <f t="shared" si="18"/>
        <v>39.408746247128704</v>
      </c>
      <c r="I187" s="5">
        <f t="shared" si="19"/>
        <v>-6.8100031448093077</v>
      </c>
      <c r="J187" s="5">
        <f t="shared" si="20"/>
        <v>46.376142832312659</v>
      </c>
    </row>
    <row r="188" spans="2:10" x14ac:dyDescent="0.3">
      <c r="B188" s="5">
        <v>27</v>
      </c>
      <c r="C188" s="5">
        <v>30.117414799264356</v>
      </c>
      <c r="D188" s="5">
        <f t="shared" si="14"/>
        <v>813.17019958013759</v>
      </c>
      <c r="E188" s="5">
        <f t="shared" si="15"/>
        <v>729</v>
      </c>
      <c r="F188" s="5">
        <f t="shared" si="16"/>
        <v>28.811795164455141</v>
      </c>
      <c r="G188" s="5">
        <f t="shared" si="17"/>
        <v>5.6281189755769034</v>
      </c>
      <c r="H188" s="5">
        <f t="shared" si="18"/>
        <v>31.675723203248815</v>
      </c>
      <c r="I188" s="5">
        <f t="shared" si="19"/>
        <v>6.9337386103861185</v>
      </c>
      <c r="J188" s="5">
        <f t="shared" si="20"/>
        <v>48.07673111715922</v>
      </c>
    </row>
    <row r="189" spans="2:10" x14ac:dyDescent="0.3">
      <c r="B189" s="5">
        <v>17</v>
      </c>
      <c r="C189" s="5">
        <v>19.641656050467862</v>
      </c>
      <c r="D189" s="5">
        <f t="shared" si="14"/>
        <v>333.90815285795367</v>
      </c>
      <c r="E189" s="5">
        <f t="shared" si="15"/>
        <v>289</v>
      </c>
      <c r="F189" s="5">
        <f t="shared" si="16"/>
        <v>21.370696686941702</v>
      </c>
      <c r="G189" s="5">
        <f t="shared" si="17"/>
        <v>-1.8129795019365353</v>
      </c>
      <c r="H189" s="5">
        <f t="shared" si="18"/>
        <v>3.2868946744420477</v>
      </c>
      <c r="I189" s="5">
        <f t="shared" si="19"/>
        <v>-3.5420201384103756</v>
      </c>
      <c r="J189" s="5">
        <f t="shared" si="20"/>
        <v>12.545906660904656</v>
      </c>
    </row>
    <row r="190" spans="2:10" x14ac:dyDescent="0.3">
      <c r="B190" s="5">
        <v>18</v>
      </c>
      <c r="C190" s="5">
        <v>24.875259074369612</v>
      </c>
      <c r="D190" s="5">
        <f t="shared" si="14"/>
        <v>447.75466333865302</v>
      </c>
      <c r="E190" s="5">
        <f t="shared" si="15"/>
        <v>324</v>
      </c>
      <c r="F190" s="5">
        <f t="shared" si="16"/>
        <v>22.114806534693045</v>
      </c>
      <c r="G190" s="5">
        <f t="shared" si="17"/>
        <v>-1.0688696541851925</v>
      </c>
      <c r="H190" s="5">
        <f t="shared" si="18"/>
        <v>1.1424823376379731</v>
      </c>
      <c r="I190" s="5">
        <f t="shared" si="19"/>
        <v>1.6915828854913748</v>
      </c>
      <c r="J190" s="5">
        <f t="shared" si="20"/>
        <v>2.8614526584873259</v>
      </c>
    </row>
    <row r="191" spans="2:10" x14ac:dyDescent="0.3">
      <c r="B191" s="5">
        <v>14</v>
      </c>
      <c r="C191" s="5">
        <v>18.461975331647547</v>
      </c>
      <c r="D191" s="5">
        <f t="shared" si="14"/>
        <v>258.46765464306566</v>
      </c>
      <c r="E191" s="5">
        <f t="shared" si="15"/>
        <v>196</v>
      </c>
      <c r="F191" s="5">
        <f t="shared" si="16"/>
        <v>19.13836714368767</v>
      </c>
      <c r="G191" s="5">
        <f t="shared" si="17"/>
        <v>-4.0453090451905673</v>
      </c>
      <c r="H191" s="5">
        <f t="shared" si="18"/>
        <v>16.364525271100618</v>
      </c>
      <c r="I191" s="5">
        <f t="shared" si="19"/>
        <v>-4.7217008572306902</v>
      </c>
      <c r="J191" s="5">
        <f t="shared" si="20"/>
        <v>22.294458985173033</v>
      </c>
    </row>
    <row r="192" spans="2:10" x14ac:dyDescent="0.3">
      <c r="B192" s="5">
        <v>24</v>
      </c>
      <c r="C192" s="5">
        <v>25.581140084279685</v>
      </c>
      <c r="D192" s="5">
        <f t="shared" si="14"/>
        <v>613.94736202271247</v>
      </c>
      <c r="E192" s="5">
        <f t="shared" si="15"/>
        <v>576</v>
      </c>
      <c r="F192" s="5">
        <f t="shared" si="16"/>
        <v>26.579465621201109</v>
      </c>
      <c r="G192" s="5">
        <f t="shared" si="17"/>
        <v>3.3957894323228714</v>
      </c>
      <c r="H192" s="5">
        <f t="shared" si="18"/>
        <v>11.53138586867569</v>
      </c>
      <c r="I192" s="5">
        <f t="shared" si="19"/>
        <v>2.3974638954014473</v>
      </c>
      <c r="J192" s="5">
        <f t="shared" si="20"/>
        <v>5.7478331297534817</v>
      </c>
    </row>
    <row r="193" spans="2:10" x14ac:dyDescent="0.3">
      <c r="B193" s="5">
        <v>28</v>
      </c>
      <c r="C193" s="5">
        <v>30.707518008333555</v>
      </c>
      <c r="D193" s="5">
        <f t="shared" si="14"/>
        <v>859.81050423333954</v>
      </c>
      <c r="E193" s="5">
        <f t="shared" si="15"/>
        <v>784</v>
      </c>
      <c r="F193" s="5">
        <f t="shared" si="16"/>
        <v>29.555905012206487</v>
      </c>
      <c r="G193" s="5">
        <f t="shared" si="17"/>
        <v>6.3722288233282498</v>
      </c>
      <c r="H193" s="5">
        <f t="shared" si="18"/>
        <v>40.60530017685533</v>
      </c>
      <c r="I193" s="5">
        <f t="shared" si="19"/>
        <v>7.5238418194553169</v>
      </c>
      <c r="J193" s="5">
        <f t="shared" si="20"/>
        <v>56.608195724184696</v>
      </c>
    </row>
    <row r="194" spans="2:10" x14ac:dyDescent="0.3">
      <c r="B194" s="5">
        <v>17</v>
      </c>
      <c r="C194" s="5">
        <v>19.707463303640221</v>
      </c>
      <c r="D194" s="5">
        <f t="shared" si="14"/>
        <v>335.02687616188376</v>
      </c>
      <c r="E194" s="5">
        <f t="shared" si="15"/>
        <v>289</v>
      </c>
      <c r="F194" s="5">
        <f t="shared" si="16"/>
        <v>21.370696686941702</v>
      </c>
      <c r="G194" s="5">
        <f t="shared" si="17"/>
        <v>-1.8129795019365353</v>
      </c>
      <c r="H194" s="5">
        <f t="shared" si="18"/>
        <v>3.2868946744420477</v>
      </c>
      <c r="I194" s="5">
        <f t="shared" si="19"/>
        <v>-3.4762128852380165</v>
      </c>
      <c r="J194" s="5">
        <f t="shared" si="20"/>
        <v>12.084056023494815</v>
      </c>
    </row>
    <row r="195" spans="2:10" x14ac:dyDescent="0.3">
      <c r="B195" s="5">
        <v>18</v>
      </c>
      <c r="C195" s="5">
        <v>23.773190681255453</v>
      </c>
      <c r="D195" s="5">
        <f t="shared" ref="D195:D237" si="21">B195*C195</f>
        <v>427.91743226259814</v>
      </c>
      <c r="E195" s="5">
        <f t="shared" ref="E195:E237" si="22">POWER(B195, 2)</f>
        <v>324</v>
      </c>
      <c r="F195" s="5">
        <f t="shared" ref="F195:F237" si="23">$M$8+B195*$M$7</f>
        <v>22.114806534693045</v>
      </c>
      <c r="G195" s="5">
        <f t="shared" ref="G195:G237" si="24">F195-$M$3</f>
        <v>-1.0688696541851925</v>
      </c>
      <c r="H195" s="5">
        <f t="shared" ref="H195:H237" si="25">POWER(G195,2)</f>
        <v>1.1424823376379731</v>
      </c>
      <c r="I195" s="5">
        <f t="shared" ref="I195:I237" si="26">C195-$M$3</f>
        <v>0.58951449237721576</v>
      </c>
      <c r="J195" s="5">
        <f t="shared" ref="J195:J237" si="27">POWER(I195,2)</f>
        <v>0.34752733672276637</v>
      </c>
    </row>
    <row r="196" spans="2:10" x14ac:dyDescent="0.3">
      <c r="B196" s="5">
        <v>27</v>
      </c>
      <c r="C196" s="5">
        <v>25.6747815184623</v>
      </c>
      <c r="D196" s="5">
        <f t="shared" si="21"/>
        <v>693.21910099848208</v>
      </c>
      <c r="E196" s="5">
        <f t="shared" si="22"/>
        <v>729</v>
      </c>
      <c r="F196" s="5">
        <f t="shared" si="23"/>
        <v>28.811795164455141</v>
      </c>
      <c r="G196" s="5">
        <f t="shared" si="24"/>
        <v>5.6281189755769034</v>
      </c>
      <c r="H196" s="5">
        <f t="shared" si="25"/>
        <v>31.675723203248815</v>
      </c>
      <c r="I196" s="5">
        <f t="shared" si="26"/>
        <v>2.4911053295840624</v>
      </c>
      <c r="J196" s="5">
        <f t="shared" si="27"/>
        <v>6.2056057630821204</v>
      </c>
    </row>
    <row r="197" spans="2:10" x14ac:dyDescent="0.3">
      <c r="B197" s="5">
        <v>28</v>
      </c>
      <c r="C197" s="5">
        <v>30.86463305192186</v>
      </c>
      <c r="D197" s="5">
        <f t="shared" si="21"/>
        <v>864.2097254538121</v>
      </c>
      <c r="E197" s="5">
        <f t="shared" si="22"/>
        <v>784</v>
      </c>
      <c r="F197" s="5">
        <f t="shared" si="23"/>
        <v>29.555905012206487</v>
      </c>
      <c r="G197" s="5">
        <f t="shared" si="24"/>
        <v>6.3722288233282498</v>
      </c>
      <c r="H197" s="5">
        <f t="shared" si="25"/>
        <v>40.60530017685533</v>
      </c>
      <c r="I197" s="5">
        <f t="shared" si="26"/>
        <v>7.6809568630436225</v>
      </c>
      <c r="J197" s="5">
        <f t="shared" si="27"/>
        <v>58.997098331936925</v>
      </c>
    </row>
    <row r="198" spans="2:10" x14ac:dyDescent="0.3">
      <c r="B198" s="5">
        <v>26</v>
      </c>
      <c r="C198" s="5">
        <v>27.708555772371788</v>
      </c>
      <c r="D198" s="5">
        <f t="shared" si="21"/>
        <v>720.42245008166651</v>
      </c>
      <c r="E198" s="5">
        <f t="shared" si="22"/>
        <v>676</v>
      </c>
      <c r="F198" s="5">
        <f t="shared" si="23"/>
        <v>28.067685316703795</v>
      </c>
      <c r="G198" s="5">
        <f t="shared" si="24"/>
        <v>4.8840091278255571</v>
      </c>
      <c r="H198" s="5">
        <f t="shared" si="25"/>
        <v>23.85354516068336</v>
      </c>
      <c r="I198" s="5">
        <f t="shared" si="26"/>
        <v>4.5248795834935507</v>
      </c>
      <c r="J198" s="5">
        <f t="shared" si="27"/>
        <v>20.474535245116769</v>
      </c>
    </row>
    <row r="199" spans="2:10" x14ac:dyDescent="0.3">
      <c r="B199" s="5">
        <v>19</v>
      </c>
      <c r="C199" s="5">
        <v>21.936412304086886</v>
      </c>
      <c r="D199" s="5">
        <f t="shared" si="21"/>
        <v>416.79183377765082</v>
      </c>
      <c r="E199" s="5">
        <f t="shared" si="22"/>
        <v>361</v>
      </c>
      <c r="F199" s="5">
        <f t="shared" si="23"/>
        <v>22.858916382444392</v>
      </c>
      <c r="G199" s="5">
        <f t="shared" si="24"/>
        <v>-0.32475980643384617</v>
      </c>
      <c r="H199" s="5">
        <f t="shared" si="25"/>
        <v>0.10546893187494923</v>
      </c>
      <c r="I199" s="5">
        <f t="shared" si="26"/>
        <v>-1.2472638847913515</v>
      </c>
      <c r="J199" s="5">
        <f t="shared" si="27"/>
        <v>1.5556671983048138</v>
      </c>
    </row>
    <row r="200" spans="2:10" x14ac:dyDescent="0.3">
      <c r="B200" s="5">
        <v>14</v>
      </c>
      <c r="C200" s="5">
        <v>22.149164867921492</v>
      </c>
      <c r="D200" s="5">
        <f t="shared" si="21"/>
        <v>310.0883081509009</v>
      </c>
      <c r="E200" s="5">
        <f t="shared" si="22"/>
        <v>196</v>
      </c>
      <c r="F200" s="5">
        <f t="shared" si="23"/>
        <v>19.13836714368767</v>
      </c>
      <c r="G200" s="5">
        <f t="shared" si="24"/>
        <v>-4.0453090451905673</v>
      </c>
      <c r="H200" s="5">
        <f t="shared" si="25"/>
        <v>16.364525271100618</v>
      </c>
      <c r="I200" s="5">
        <f t="shared" si="26"/>
        <v>-1.0345113209567458</v>
      </c>
      <c r="J200" s="5">
        <f t="shared" si="27"/>
        <v>1.0702136731876712</v>
      </c>
    </row>
    <row r="201" spans="2:10" x14ac:dyDescent="0.3">
      <c r="B201" s="5">
        <v>13</v>
      </c>
      <c r="C201" s="5">
        <v>20.117650752886998</v>
      </c>
      <c r="D201" s="5">
        <f t="shared" si="21"/>
        <v>261.52945978753098</v>
      </c>
      <c r="E201" s="5">
        <f t="shared" si="22"/>
        <v>169</v>
      </c>
      <c r="F201" s="5">
        <f t="shared" si="23"/>
        <v>18.394257295936328</v>
      </c>
      <c r="G201" s="5">
        <f t="shared" si="24"/>
        <v>-4.7894188929419101</v>
      </c>
      <c r="H201" s="5">
        <f t="shared" si="25"/>
        <v>22.938533332068911</v>
      </c>
      <c r="I201" s="5">
        <f t="shared" si="26"/>
        <v>-3.0660254359912393</v>
      </c>
      <c r="J201" s="5">
        <f t="shared" si="27"/>
        <v>9.4005119741452692</v>
      </c>
    </row>
    <row r="202" spans="2:10" x14ac:dyDescent="0.3">
      <c r="B202" s="5">
        <v>21</v>
      </c>
      <c r="C202" s="5">
        <v>25.26875253469386</v>
      </c>
      <c r="D202" s="5">
        <f t="shared" si="21"/>
        <v>530.64380322857107</v>
      </c>
      <c r="E202" s="5">
        <f t="shared" si="22"/>
        <v>441</v>
      </c>
      <c r="F202" s="5">
        <f t="shared" si="23"/>
        <v>24.347136077947077</v>
      </c>
      <c r="G202" s="5">
        <f t="shared" si="24"/>
        <v>1.1634598890688395</v>
      </c>
      <c r="H202" s="5">
        <f t="shared" si="25"/>
        <v>1.3536389134720763</v>
      </c>
      <c r="I202" s="5">
        <f t="shared" si="26"/>
        <v>2.0850763458156223</v>
      </c>
      <c r="J202" s="5">
        <f t="shared" si="27"/>
        <v>4.3475433678798288</v>
      </c>
    </row>
    <row r="203" spans="2:10" x14ac:dyDescent="0.3">
      <c r="B203" s="5">
        <v>30</v>
      </c>
      <c r="C203" s="5">
        <v>33.841258318567554</v>
      </c>
      <c r="D203" s="5">
        <f t="shared" si="21"/>
        <v>1015.2377495570266</v>
      </c>
      <c r="E203" s="5">
        <f t="shared" si="22"/>
        <v>900</v>
      </c>
      <c r="F203" s="5">
        <f t="shared" si="23"/>
        <v>31.044124707709173</v>
      </c>
      <c r="G203" s="5">
        <f t="shared" si="24"/>
        <v>7.8604485188309354</v>
      </c>
      <c r="H203" s="5">
        <f t="shared" si="25"/>
        <v>61.786650917191444</v>
      </c>
      <c r="I203" s="5">
        <f t="shared" si="26"/>
        <v>10.657582129689317</v>
      </c>
      <c r="J203" s="5">
        <f t="shared" si="27"/>
        <v>113.58405685107307</v>
      </c>
    </row>
    <row r="204" spans="2:10" x14ac:dyDescent="0.3">
      <c r="B204" s="5">
        <v>20</v>
      </c>
      <c r="C204" s="5">
        <v>25.846581393794231</v>
      </c>
      <c r="D204" s="5">
        <f t="shared" si="21"/>
        <v>516.9316278758846</v>
      </c>
      <c r="E204" s="5">
        <f t="shared" si="22"/>
        <v>400</v>
      </c>
      <c r="F204" s="5">
        <f t="shared" si="23"/>
        <v>23.603026230195731</v>
      </c>
      <c r="G204" s="5">
        <f t="shared" si="24"/>
        <v>0.41935004131749309</v>
      </c>
      <c r="H204" s="5">
        <f t="shared" si="25"/>
        <v>0.17585445715298317</v>
      </c>
      <c r="I204" s="5">
        <f t="shared" si="26"/>
        <v>2.6629052049159938</v>
      </c>
      <c r="J204" s="5">
        <f t="shared" si="27"/>
        <v>7.0910641303686912</v>
      </c>
    </row>
    <row r="205" spans="2:10" x14ac:dyDescent="0.3">
      <c r="B205" s="5">
        <v>23</v>
      </c>
      <c r="C205" s="5">
        <v>27.051581458934244</v>
      </c>
      <c r="D205" s="5">
        <f t="shared" si="21"/>
        <v>622.18637355548765</v>
      </c>
      <c r="E205" s="5">
        <f t="shared" si="22"/>
        <v>529</v>
      </c>
      <c r="F205" s="5">
        <f t="shared" si="23"/>
        <v>25.835355773449763</v>
      </c>
      <c r="G205" s="5">
        <f t="shared" si="24"/>
        <v>2.6516795845715251</v>
      </c>
      <c r="H205" s="5">
        <f t="shared" si="25"/>
        <v>7.0314046192334159</v>
      </c>
      <c r="I205" s="5">
        <f t="shared" si="26"/>
        <v>3.8679052700560064</v>
      </c>
      <c r="J205" s="5">
        <f t="shared" si="27"/>
        <v>14.960691178127028</v>
      </c>
    </row>
    <row r="206" spans="2:10" x14ac:dyDescent="0.3">
      <c r="B206" s="5">
        <v>29</v>
      </c>
      <c r="C206" s="5">
        <v>31.324437796890912</v>
      </c>
      <c r="D206" s="5">
        <f t="shared" si="21"/>
        <v>908.40869610983646</v>
      </c>
      <c r="E206" s="5">
        <f t="shared" si="22"/>
        <v>841</v>
      </c>
      <c r="F206" s="5">
        <f t="shared" si="23"/>
        <v>30.300014859957827</v>
      </c>
      <c r="G206" s="5">
        <f t="shared" si="24"/>
        <v>7.1163386710795891</v>
      </c>
      <c r="H206" s="5">
        <f t="shared" si="25"/>
        <v>50.642276081502814</v>
      </c>
      <c r="I206" s="5">
        <f t="shared" si="26"/>
        <v>8.1407616080126743</v>
      </c>
      <c r="J206" s="5">
        <f t="shared" si="27"/>
        <v>66.271999558493107</v>
      </c>
    </row>
    <row r="207" spans="2:10" x14ac:dyDescent="0.3">
      <c r="B207" s="5">
        <v>17</v>
      </c>
      <c r="C207" s="5">
        <v>19.137766857129677</v>
      </c>
      <c r="D207" s="5">
        <f t="shared" si="21"/>
        <v>325.34203657120452</v>
      </c>
      <c r="E207" s="5">
        <f t="shared" si="22"/>
        <v>289</v>
      </c>
      <c r="F207" s="5">
        <f t="shared" si="23"/>
        <v>21.370696686941702</v>
      </c>
      <c r="G207" s="5">
        <f t="shared" si="24"/>
        <v>-1.8129795019365353</v>
      </c>
      <c r="H207" s="5">
        <f t="shared" si="25"/>
        <v>3.2868946744420477</v>
      </c>
      <c r="I207" s="5">
        <f t="shared" si="26"/>
        <v>-4.045909331748561</v>
      </c>
      <c r="J207" s="5">
        <f t="shared" si="27"/>
        <v>16.369382320730089</v>
      </c>
    </row>
    <row r="208" spans="2:10" x14ac:dyDescent="0.3">
      <c r="B208" s="5">
        <v>14</v>
      </c>
      <c r="C208" s="5">
        <v>17.403486918494821</v>
      </c>
      <c r="D208" s="5">
        <f t="shared" si="21"/>
        <v>243.64881685892749</v>
      </c>
      <c r="E208" s="5">
        <f t="shared" si="22"/>
        <v>196</v>
      </c>
      <c r="F208" s="5">
        <f t="shared" si="23"/>
        <v>19.13836714368767</v>
      </c>
      <c r="G208" s="5">
        <f t="shared" si="24"/>
        <v>-4.0453090451905673</v>
      </c>
      <c r="H208" s="5">
        <f t="shared" si="25"/>
        <v>16.364525271100618</v>
      </c>
      <c r="I208" s="5">
        <f t="shared" si="26"/>
        <v>-5.780189270383417</v>
      </c>
      <c r="J208" s="5">
        <f t="shared" si="27"/>
        <v>33.410588001455579</v>
      </c>
    </row>
    <row r="209" spans="2:10" x14ac:dyDescent="0.3">
      <c r="B209" s="5">
        <v>20</v>
      </c>
      <c r="C209" s="5">
        <v>23.809246479863482</v>
      </c>
      <c r="D209" s="5">
        <f t="shared" si="21"/>
        <v>476.18492959726962</v>
      </c>
      <c r="E209" s="5">
        <f t="shared" si="22"/>
        <v>400</v>
      </c>
      <c r="F209" s="5">
        <f t="shared" si="23"/>
        <v>23.603026230195731</v>
      </c>
      <c r="G209" s="5">
        <f t="shared" si="24"/>
        <v>0.41935004131749309</v>
      </c>
      <c r="H209" s="5">
        <f t="shared" si="25"/>
        <v>0.17585445715298317</v>
      </c>
      <c r="I209" s="5">
        <f t="shared" si="26"/>
        <v>0.62557029098524453</v>
      </c>
      <c r="J209" s="5">
        <f t="shared" si="27"/>
        <v>0.39133818896336353</v>
      </c>
    </row>
    <row r="210" spans="2:10" x14ac:dyDescent="0.3">
      <c r="B210" s="5">
        <v>29</v>
      </c>
      <c r="C210" s="5">
        <v>33.914644668280722</v>
      </c>
      <c r="D210" s="5">
        <f t="shared" si="21"/>
        <v>983.524695380141</v>
      </c>
      <c r="E210" s="5">
        <f t="shared" si="22"/>
        <v>841</v>
      </c>
      <c r="F210" s="5">
        <f t="shared" si="23"/>
        <v>30.300014859957827</v>
      </c>
      <c r="G210" s="5">
        <f t="shared" si="24"/>
        <v>7.1163386710795891</v>
      </c>
      <c r="H210" s="5">
        <f t="shared" si="25"/>
        <v>50.642276081502814</v>
      </c>
      <c r="I210" s="5">
        <f t="shared" si="26"/>
        <v>10.730968479402485</v>
      </c>
      <c r="J210" s="5">
        <f t="shared" si="27"/>
        <v>115.15368450592968</v>
      </c>
    </row>
    <row r="211" spans="2:10" x14ac:dyDescent="0.3">
      <c r="B211" s="5">
        <v>10</v>
      </c>
      <c r="C211" s="5">
        <v>14.540808564212938</v>
      </c>
      <c r="D211" s="5">
        <f t="shared" si="21"/>
        <v>145.40808564212938</v>
      </c>
      <c r="E211" s="5">
        <f t="shared" si="22"/>
        <v>100</v>
      </c>
      <c r="F211" s="5">
        <f t="shared" si="23"/>
        <v>16.161927752682296</v>
      </c>
      <c r="G211" s="5">
        <f t="shared" si="24"/>
        <v>-7.0217484361959421</v>
      </c>
      <c r="H211" s="5">
        <f t="shared" si="25"/>
        <v>49.304951101220162</v>
      </c>
      <c r="I211" s="5">
        <f t="shared" si="26"/>
        <v>-8.6428676246652998</v>
      </c>
      <c r="J211" s="5">
        <f t="shared" si="27"/>
        <v>74.699160777487606</v>
      </c>
    </row>
    <row r="212" spans="2:10" x14ac:dyDescent="0.3">
      <c r="B212" s="5">
        <v>28</v>
      </c>
      <c r="C212" s="5">
        <v>28.769610254156664</v>
      </c>
      <c r="D212" s="5">
        <f t="shared" si="21"/>
        <v>805.54908711638654</v>
      </c>
      <c r="E212" s="5">
        <f t="shared" si="22"/>
        <v>784</v>
      </c>
      <c r="F212" s="5">
        <f t="shared" si="23"/>
        <v>29.555905012206487</v>
      </c>
      <c r="G212" s="5">
        <f t="shared" si="24"/>
        <v>6.3722288233282498</v>
      </c>
      <c r="H212" s="5">
        <f t="shared" si="25"/>
        <v>40.60530017685533</v>
      </c>
      <c r="I212" s="5">
        <f t="shared" si="26"/>
        <v>5.5859340652784262</v>
      </c>
      <c r="J212" s="5">
        <f t="shared" si="27"/>
        <v>31.202659381637964</v>
      </c>
    </row>
    <row r="213" spans="2:10" x14ac:dyDescent="0.3">
      <c r="B213" s="5">
        <v>27</v>
      </c>
      <c r="C213" s="5">
        <v>26.715433980746845</v>
      </c>
      <c r="D213" s="5">
        <f t="shared" si="21"/>
        <v>721.31671748016481</v>
      </c>
      <c r="E213" s="5">
        <f t="shared" si="22"/>
        <v>729</v>
      </c>
      <c r="F213" s="5">
        <f t="shared" si="23"/>
        <v>28.811795164455141</v>
      </c>
      <c r="G213" s="5">
        <f t="shared" si="24"/>
        <v>5.6281189755769034</v>
      </c>
      <c r="H213" s="5">
        <f t="shared" si="25"/>
        <v>31.675723203248815</v>
      </c>
      <c r="I213" s="5">
        <f t="shared" si="26"/>
        <v>3.5317577918686069</v>
      </c>
      <c r="J213" s="5">
        <f t="shared" si="27"/>
        <v>12.473313100424619</v>
      </c>
    </row>
    <row r="214" spans="2:10" x14ac:dyDescent="0.3">
      <c r="B214" s="5">
        <v>11</v>
      </c>
      <c r="C214" s="5">
        <v>18.287944011726054</v>
      </c>
      <c r="D214" s="5">
        <f t="shared" si="21"/>
        <v>201.16738412898661</v>
      </c>
      <c r="E214" s="5">
        <f t="shared" si="22"/>
        <v>121</v>
      </c>
      <c r="F214" s="5">
        <f t="shared" si="23"/>
        <v>16.906037600433638</v>
      </c>
      <c r="G214" s="5">
        <f t="shared" si="24"/>
        <v>-6.2776385884445993</v>
      </c>
      <c r="H214" s="5">
        <f t="shared" si="25"/>
        <v>39.408746247128704</v>
      </c>
      <c r="I214" s="5">
        <f t="shared" si="26"/>
        <v>-4.8957321771521833</v>
      </c>
      <c r="J214" s="5">
        <f t="shared" si="27"/>
        <v>23.968193550403257</v>
      </c>
    </row>
    <row r="215" spans="2:10" x14ac:dyDescent="0.3">
      <c r="B215" s="5">
        <v>15</v>
      </c>
      <c r="C215" s="5">
        <v>22.116242299831555</v>
      </c>
      <c r="D215" s="5">
        <f t="shared" si="21"/>
        <v>331.74363449747329</v>
      </c>
      <c r="E215" s="5">
        <f t="shared" si="22"/>
        <v>225</v>
      </c>
      <c r="F215" s="5">
        <f t="shared" si="23"/>
        <v>19.882476991439013</v>
      </c>
      <c r="G215" s="5">
        <f t="shared" si="24"/>
        <v>-3.3011991974392245</v>
      </c>
      <c r="H215" s="5">
        <f t="shared" si="25"/>
        <v>10.897916141173381</v>
      </c>
      <c r="I215" s="5">
        <f t="shared" si="26"/>
        <v>-1.0674338890466828</v>
      </c>
      <c r="J215" s="5">
        <f t="shared" si="27"/>
        <v>1.1394151074853258</v>
      </c>
    </row>
    <row r="216" spans="2:10" x14ac:dyDescent="0.3">
      <c r="B216" s="5">
        <v>19</v>
      </c>
      <c r="C216" s="5">
        <v>22.373624856540367</v>
      </c>
      <c r="D216" s="5">
        <f t="shared" si="21"/>
        <v>425.09887227426697</v>
      </c>
      <c r="E216" s="5">
        <f t="shared" si="22"/>
        <v>361</v>
      </c>
      <c r="F216" s="5">
        <f t="shared" si="23"/>
        <v>22.858916382444392</v>
      </c>
      <c r="G216" s="5">
        <f t="shared" si="24"/>
        <v>-0.32475980643384617</v>
      </c>
      <c r="H216" s="5">
        <f t="shared" si="25"/>
        <v>0.10546893187494923</v>
      </c>
      <c r="I216" s="5">
        <f t="shared" si="26"/>
        <v>-0.81005133233787063</v>
      </c>
      <c r="J216" s="5">
        <f t="shared" si="27"/>
        <v>0.6561831610223593</v>
      </c>
    </row>
    <row r="217" spans="2:10" x14ac:dyDescent="0.3">
      <c r="B217" s="5">
        <v>26</v>
      </c>
      <c r="C217" s="5">
        <v>28.909939656878088</v>
      </c>
      <c r="D217" s="5">
        <f t="shared" si="21"/>
        <v>751.65843107883029</v>
      </c>
      <c r="E217" s="5">
        <f t="shared" si="22"/>
        <v>676</v>
      </c>
      <c r="F217" s="5">
        <f t="shared" si="23"/>
        <v>28.067685316703795</v>
      </c>
      <c r="G217" s="5">
        <f t="shared" si="24"/>
        <v>4.8840091278255571</v>
      </c>
      <c r="H217" s="5">
        <f t="shared" si="25"/>
        <v>23.85354516068336</v>
      </c>
      <c r="I217" s="5">
        <f t="shared" si="26"/>
        <v>5.7262634679998499</v>
      </c>
      <c r="J217" s="5">
        <f t="shared" si="27"/>
        <v>32.790093304949664</v>
      </c>
    </row>
    <row r="218" spans="2:10" x14ac:dyDescent="0.3">
      <c r="B218" s="5">
        <v>27</v>
      </c>
      <c r="C218" s="5">
        <v>27.107611498703857</v>
      </c>
      <c r="D218" s="5">
        <f t="shared" si="21"/>
        <v>731.90551046500411</v>
      </c>
      <c r="E218" s="5">
        <f t="shared" si="22"/>
        <v>729</v>
      </c>
      <c r="F218" s="5">
        <f t="shared" si="23"/>
        <v>28.811795164455141</v>
      </c>
      <c r="G218" s="5">
        <f t="shared" si="24"/>
        <v>5.6281189755769034</v>
      </c>
      <c r="H218" s="5">
        <f t="shared" si="25"/>
        <v>31.675723203248815</v>
      </c>
      <c r="I218" s="5">
        <f t="shared" si="26"/>
        <v>3.9239353098256196</v>
      </c>
      <c r="J218" s="5">
        <f t="shared" si="27"/>
        <v>15.39726831569628</v>
      </c>
    </row>
    <row r="219" spans="2:10" x14ac:dyDescent="0.3">
      <c r="B219" s="5">
        <v>12</v>
      </c>
      <c r="C219" s="5">
        <v>16.608542441194306</v>
      </c>
      <c r="D219" s="5">
        <f t="shared" si="21"/>
        <v>199.30250929433168</v>
      </c>
      <c r="E219" s="5">
        <f t="shared" si="22"/>
        <v>144</v>
      </c>
      <c r="F219" s="5">
        <f t="shared" si="23"/>
        <v>17.650147448184981</v>
      </c>
      <c r="G219" s="5">
        <f t="shared" si="24"/>
        <v>-5.5335287406932565</v>
      </c>
      <c r="H219" s="5">
        <f t="shared" si="25"/>
        <v>30.619940324078296</v>
      </c>
      <c r="I219" s="5">
        <f t="shared" si="26"/>
        <v>-6.5751337476839318</v>
      </c>
      <c r="J219" s="5">
        <f t="shared" si="27"/>
        <v>43.232383799932144</v>
      </c>
    </row>
    <row r="220" spans="2:10" x14ac:dyDescent="0.3">
      <c r="B220" s="5">
        <v>28</v>
      </c>
      <c r="C220" s="5">
        <v>26.720540886446312</v>
      </c>
      <c r="D220" s="5">
        <f t="shared" si="21"/>
        <v>748.17514482049671</v>
      </c>
      <c r="E220" s="5">
        <f t="shared" si="22"/>
        <v>784</v>
      </c>
      <c r="F220" s="5">
        <f t="shared" si="23"/>
        <v>29.555905012206487</v>
      </c>
      <c r="G220" s="5">
        <f t="shared" si="24"/>
        <v>6.3722288233282498</v>
      </c>
      <c r="H220" s="5">
        <f t="shared" si="25"/>
        <v>40.60530017685533</v>
      </c>
      <c r="I220" s="5">
        <f t="shared" si="26"/>
        <v>3.536864697568074</v>
      </c>
      <c r="J220" s="5">
        <f t="shared" si="27"/>
        <v>12.509411888903303</v>
      </c>
    </row>
    <row r="221" spans="2:10" x14ac:dyDescent="0.3">
      <c r="B221" s="5">
        <v>22</v>
      </c>
      <c r="C221" s="5">
        <v>25.563719130439459</v>
      </c>
      <c r="D221" s="5">
        <f t="shared" si="21"/>
        <v>562.40182086966809</v>
      </c>
      <c r="E221" s="5">
        <f t="shared" si="22"/>
        <v>484</v>
      </c>
      <c r="F221" s="5">
        <f t="shared" si="23"/>
        <v>25.091245925698423</v>
      </c>
      <c r="G221" s="5">
        <f t="shared" si="24"/>
        <v>1.9075697368201858</v>
      </c>
      <c r="H221" s="5">
        <f t="shared" si="25"/>
        <v>3.6388223008322331</v>
      </c>
      <c r="I221" s="5">
        <f t="shared" si="26"/>
        <v>2.3800429415612214</v>
      </c>
      <c r="J221" s="5">
        <f t="shared" si="27"/>
        <v>5.6646044036753915</v>
      </c>
    </row>
    <row r="222" spans="2:10" x14ac:dyDescent="0.3">
      <c r="B222" s="5">
        <v>14</v>
      </c>
      <c r="C222" s="5">
        <v>17.737284571796334</v>
      </c>
      <c r="D222" s="5">
        <f t="shared" si="21"/>
        <v>248.32198400514866</v>
      </c>
      <c r="E222" s="5">
        <f t="shared" si="22"/>
        <v>196</v>
      </c>
      <c r="F222" s="5">
        <f t="shared" si="23"/>
        <v>19.13836714368767</v>
      </c>
      <c r="G222" s="5">
        <f t="shared" si="24"/>
        <v>-4.0453090451905673</v>
      </c>
      <c r="H222" s="5">
        <f t="shared" si="25"/>
        <v>16.364525271100618</v>
      </c>
      <c r="I222" s="5">
        <f t="shared" si="26"/>
        <v>-5.446391617081904</v>
      </c>
      <c r="J222" s="5">
        <f t="shared" si="27"/>
        <v>29.663181646620036</v>
      </c>
    </row>
    <row r="223" spans="2:10" x14ac:dyDescent="0.3">
      <c r="B223" s="5">
        <v>30</v>
      </c>
      <c r="C223" s="5">
        <v>31.822547965554772</v>
      </c>
      <c r="D223" s="5">
        <f t="shared" si="21"/>
        <v>954.67643896664322</v>
      </c>
      <c r="E223" s="5">
        <f t="shared" si="22"/>
        <v>900</v>
      </c>
      <c r="F223" s="5">
        <f t="shared" si="23"/>
        <v>31.044124707709173</v>
      </c>
      <c r="G223" s="5">
        <f t="shared" si="24"/>
        <v>7.8604485188309354</v>
      </c>
      <c r="H223" s="5">
        <f t="shared" si="25"/>
        <v>61.786650917191444</v>
      </c>
      <c r="I223" s="5">
        <f t="shared" si="26"/>
        <v>8.6388717766765346</v>
      </c>
      <c r="J223" s="5">
        <f t="shared" si="27"/>
        <v>74.630105573858387</v>
      </c>
    </row>
    <row r="224" spans="2:10" x14ac:dyDescent="0.3">
      <c r="B224" s="5">
        <v>24</v>
      </c>
      <c r="C224" s="5">
        <v>27.819993762611638</v>
      </c>
      <c r="D224" s="5">
        <f t="shared" si="21"/>
        <v>667.67985030267937</v>
      </c>
      <c r="E224" s="5">
        <f t="shared" si="22"/>
        <v>576</v>
      </c>
      <c r="F224" s="5">
        <f t="shared" si="23"/>
        <v>26.579465621201109</v>
      </c>
      <c r="G224" s="5">
        <f t="shared" si="24"/>
        <v>3.3957894323228714</v>
      </c>
      <c r="H224" s="5">
        <f t="shared" si="25"/>
        <v>11.53138586867569</v>
      </c>
      <c r="I224" s="5">
        <f t="shared" si="26"/>
        <v>4.6363175737334004</v>
      </c>
      <c r="J224" s="5">
        <f t="shared" si="27"/>
        <v>21.495440644509163</v>
      </c>
    </row>
    <row r="225" spans="2:10" x14ac:dyDescent="0.3">
      <c r="B225" s="5">
        <v>10</v>
      </c>
      <c r="C225" s="5">
        <v>15.151396095379177</v>
      </c>
      <c r="D225" s="5">
        <f t="shared" si="21"/>
        <v>151.51396095379175</v>
      </c>
      <c r="E225" s="5">
        <f t="shared" si="22"/>
        <v>100</v>
      </c>
      <c r="F225" s="5">
        <f t="shared" si="23"/>
        <v>16.161927752682296</v>
      </c>
      <c r="G225" s="5">
        <f t="shared" si="24"/>
        <v>-7.0217484361959421</v>
      </c>
      <c r="H225" s="5">
        <f t="shared" si="25"/>
        <v>49.304951101220162</v>
      </c>
      <c r="I225" s="5">
        <f t="shared" si="26"/>
        <v>-8.032280093499061</v>
      </c>
      <c r="J225" s="5">
        <f t="shared" si="27"/>
        <v>64.517523500421291</v>
      </c>
    </row>
    <row r="226" spans="2:10" x14ac:dyDescent="0.3">
      <c r="B226" s="5">
        <v>28</v>
      </c>
      <c r="C226" s="5">
        <v>27.796603143397412</v>
      </c>
      <c r="D226" s="5">
        <f t="shared" si="21"/>
        <v>778.30488801512752</v>
      </c>
      <c r="E226" s="5">
        <f t="shared" si="22"/>
        <v>784</v>
      </c>
      <c r="F226" s="5">
        <f t="shared" si="23"/>
        <v>29.555905012206487</v>
      </c>
      <c r="G226" s="5">
        <f t="shared" si="24"/>
        <v>6.3722288233282498</v>
      </c>
      <c r="H226" s="5">
        <f t="shared" si="25"/>
        <v>40.60530017685533</v>
      </c>
      <c r="I226" s="5">
        <f t="shared" si="26"/>
        <v>4.6129269545191747</v>
      </c>
      <c r="J226" s="5">
        <f t="shared" si="27"/>
        <v>21.279095087729548</v>
      </c>
    </row>
    <row r="227" spans="2:10" x14ac:dyDescent="0.3">
      <c r="B227" s="5">
        <v>16</v>
      </c>
      <c r="C227" s="5">
        <v>23.150983036129741</v>
      </c>
      <c r="D227" s="5">
        <f t="shared" si="21"/>
        <v>370.41572857807586</v>
      </c>
      <c r="E227" s="5">
        <f t="shared" si="22"/>
        <v>256</v>
      </c>
      <c r="F227" s="5">
        <f t="shared" si="23"/>
        <v>20.62658683919036</v>
      </c>
      <c r="G227" s="5">
        <f t="shared" si="24"/>
        <v>-2.5570893496878782</v>
      </c>
      <c r="H227" s="5">
        <f t="shared" si="25"/>
        <v>6.5387059422871756</v>
      </c>
      <c r="I227" s="5">
        <f t="shared" si="26"/>
        <v>-3.2693152748496601E-2</v>
      </c>
      <c r="J227" s="5">
        <f t="shared" si="27"/>
        <v>1.0688422366365309E-3</v>
      </c>
    </row>
    <row r="228" spans="2:10" x14ac:dyDescent="0.3">
      <c r="B228" s="5">
        <v>14</v>
      </c>
      <c r="C228" s="5">
        <v>22.685891765392018</v>
      </c>
      <c r="D228" s="5">
        <f t="shared" si="21"/>
        <v>317.60248471548823</v>
      </c>
      <c r="E228" s="5">
        <f t="shared" si="22"/>
        <v>196</v>
      </c>
      <c r="F228" s="5">
        <f t="shared" si="23"/>
        <v>19.13836714368767</v>
      </c>
      <c r="G228" s="5">
        <f t="shared" si="24"/>
        <v>-4.0453090451905673</v>
      </c>
      <c r="H228" s="5">
        <f t="shared" si="25"/>
        <v>16.364525271100618</v>
      </c>
      <c r="I228" s="5">
        <f t="shared" si="26"/>
        <v>-0.49778442348621965</v>
      </c>
      <c r="J228" s="5">
        <f t="shared" si="27"/>
        <v>0.24778933226550806</v>
      </c>
    </row>
    <row r="229" spans="2:10" x14ac:dyDescent="0.3">
      <c r="B229" s="5">
        <v>27</v>
      </c>
      <c r="C229" s="5">
        <v>25.817998094536748</v>
      </c>
      <c r="D229" s="5">
        <f t="shared" si="21"/>
        <v>697.08594855249214</v>
      </c>
      <c r="E229" s="5">
        <f t="shared" si="22"/>
        <v>729</v>
      </c>
      <c r="F229" s="5">
        <f t="shared" si="23"/>
        <v>28.811795164455141</v>
      </c>
      <c r="G229" s="5">
        <f t="shared" si="24"/>
        <v>5.6281189755769034</v>
      </c>
      <c r="H229" s="5">
        <f t="shared" si="25"/>
        <v>31.675723203248815</v>
      </c>
      <c r="I229" s="5">
        <f t="shared" si="26"/>
        <v>2.6343219056585099</v>
      </c>
      <c r="J229" s="5">
        <f t="shared" si="27"/>
        <v>6.9396519026322832</v>
      </c>
    </row>
    <row r="230" spans="2:10" x14ac:dyDescent="0.3">
      <c r="B230" s="5">
        <v>22</v>
      </c>
      <c r="C230" s="5">
        <v>24.114345356990654</v>
      </c>
      <c r="D230" s="5">
        <f t="shared" si="21"/>
        <v>530.51559785379436</v>
      </c>
      <c r="E230" s="5">
        <f t="shared" si="22"/>
        <v>484</v>
      </c>
      <c r="F230" s="5">
        <f t="shared" si="23"/>
        <v>25.091245925698423</v>
      </c>
      <c r="G230" s="5">
        <f t="shared" si="24"/>
        <v>1.9075697368201858</v>
      </c>
      <c r="H230" s="5">
        <f t="shared" si="25"/>
        <v>3.6388223008322331</v>
      </c>
      <c r="I230" s="5">
        <f t="shared" si="26"/>
        <v>0.9306691681124164</v>
      </c>
      <c r="J230" s="5">
        <f t="shared" si="27"/>
        <v>0.86614510047505722</v>
      </c>
    </row>
    <row r="231" spans="2:10" x14ac:dyDescent="0.3">
      <c r="B231" s="5">
        <v>11</v>
      </c>
      <c r="C231" s="5">
        <v>15.256146014042342</v>
      </c>
      <c r="D231" s="5">
        <f t="shared" si="21"/>
        <v>167.81760615446575</v>
      </c>
      <c r="E231" s="5">
        <f t="shared" si="22"/>
        <v>121</v>
      </c>
      <c r="F231" s="5">
        <f t="shared" si="23"/>
        <v>16.906037600433638</v>
      </c>
      <c r="G231" s="5">
        <f t="shared" si="24"/>
        <v>-6.2776385884445993</v>
      </c>
      <c r="H231" s="5">
        <f t="shared" si="25"/>
        <v>39.408746247128704</v>
      </c>
      <c r="I231" s="5">
        <f t="shared" si="26"/>
        <v>-7.9275301748358959</v>
      </c>
      <c r="J231" s="5">
        <f t="shared" si="27"/>
        <v>62.845734672933652</v>
      </c>
    </row>
    <row r="232" spans="2:10" x14ac:dyDescent="0.3">
      <c r="B232" s="5">
        <v>29</v>
      </c>
      <c r="C232" s="5">
        <v>27.452988363980197</v>
      </c>
      <c r="D232" s="5">
        <f t="shared" si="21"/>
        <v>796.13666255542569</v>
      </c>
      <c r="E232" s="5">
        <f t="shared" si="22"/>
        <v>841</v>
      </c>
      <c r="F232" s="5">
        <f t="shared" si="23"/>
        <v>30.300014859957827</v>
      </c>
      <c r="G232" s="5">
        <f t="shared" si="24"/>
        <v>7.1163386710795891</v>
      </c>
      <c r="H232" s="5">
        <f t="shared" si="25"/>
        <v>50.642276081502814</v>
      </c>
      <c r="I232" s="5">
        <f t="shared" si="26"/>
        <v>4.2693121751019589</v>
      </c>
      <c r="J232" s="5">
        <f t="shared" si="27"/>
        <v>18.227026448473818</v>
      </c>
    </row>
    <row r="233" spans="2:10" x14ac:dyDescent="0.3">
      <c r="B233" s="5">
        <v>29</v>
      </c>
      <c r="C233" s="5">
        <v>28.507794467937885</v>
      </c>
      <c r="D233" s="5">
        <f t="shared" si="21"/>
        <v>826.72603957019862</v>
      </c>
      <c r="E233" s="5">
        <f t="shared" si="22"/>
        <v>841</v>
      </c>
      <c r="F233" s="5">
        <f t="shared" si="23"/>
        <v>30.300014859957827</v>
      </c>
      <c r="G233" s="5">
        <f t="shared" si="24"/>
        <v>7.1163386710795891</v>
      </c>
      <c r="H233" s="5">
        <f t="shared" si="25"/>
        <v>50.642276081502814</v>
      </c>
      <c r="I233" s="5">
        <f t="shared" si="26"/>
        <v>5.3241182790596469</v>
      </c>
      <c r="J233" s="5">
        <f t="shared" si="27"/>
        <v>28.346235449417055</v>
      </c>
    </row>
    <row r="234" spans="2:10" x14ac:dyDescent="0.3">
      <c r="B234" s="5">
        <v>10</v>
      </c>
      <c r="C234" s="5">
        <v>17.174329054282651</v>
      </c>
      <c r="D234" s="5">
        <f t="shared" si="21"/>
        <v>171.74329054282651</v>
      </c>
      <c r="E234" s="5">
        <f t="shared" si="22"/>
        <v>100</v>
      </c>
      <c r="F234" s="5">
        <f t="shared" si="23"/>
        <v>16.161927752682296</v>
      </c>
      <c r="G234" s="5">
        <f t="shared" si="24"/>
        <v>-7.0217484361959421</v>
      </c>
      <c r="H234" s="5">
        <f t="shared" si="25"/>
        <v>49.304951101220162</v>
      </c>
      <c r="I234" s="5">
        <f t="shared" si="26"/>
        <v>-6.0093471345955862</v>
      </c>
      <c r="J234" s="5">
        <f t="shared" si="27"/>
        <v>36.112252984072185</v>
      </c>
    </row>
    <row r="235" spans="2:10" x14ac:dyDescent="0.3">
      <c r="B235" s="5">
        <v>12</v>
      </c>
      <c r="C235" s="5">
        <v>17.809294301241742</v>
      </c>
      <c r="D235" s="5">
        <f t="shared" si="21"/>
        <v>213.71153161490091</v>
      </c>
      <c r="E235" s="5">
        <f t="shared" si="22"/>
        <v>144</v>
      </c>
      <c r="F235" s="5">
        <f t="shared" si="23"/>
        <v>17.650147448184981</v>
      </c>
      <c r="G235" s="5">
        <f t="shared" si="24"/>
        <v>-5.5335287406932565</v>
      </c>
      <c r="H235" s="5">
        <f t="shared" si="25"/>
        <v>30.619940324078296</v>
      </c>
      <c r="I235" s="5">
        <f t="shared" si="26"/>
        <v>-5.3743818876364955</v>
      </c>
      <c r="J235" s="5">
        <f t="shared" si="27"/>
        <v>28.883980674155222</v>
      </c>
    </row>
    <row r="236" spans="2:10" x14ac:dyDescent="0.3">
      <c r="B236" s="5">
        <v>22</v>
      </c>
      <c r="C236" s="5">
        <v>28.209881733050871</v>
      </c>
      <c r="D236" s="5">
        <f t="shared" si="21"/>
        <v>620.61739812711915</v>
      </c>
      <c r="E236" s="5">
        <f t="shared" si="22"/>
        <v>484</v>
      </c>
      <c r="F236" s="5">
        <f t="shared" si="23"/>
        <v>25.091245925698423</v>
      </c>
      <c r="G236" s="5">
        <f t="shared" si="24"/>
        <v>1.9075697368201858</v>
      </c>
      <c r="H236" s="5">
        <f t="shared" si="25"/>
        <v>3.6388223008322331</v>
      </c>
      <c r="I236" s="5">
        <f t="shared" si="26"/>
        <v>5.0262055441726332</v>
      </c>
      <c r="J236" s="5">
        <f t="shared" si="27"/>
        <v>25.262742172271714</v>
      </c>
    </row>
    <row r="237" spans="2:10" x14ac:dyDescent="0.3">
      <c r="B237" s="5">
        <v>19</v>
      </c>
      <c r="C237" s="5">
        <v>21.585495157756487</v>
      </c>
      <c r="D237" s="5">
        <f t="shared" si="21"/>
        <v>410.12440799737323</v>
      </c>
      <c r="E237" s="5">
        <f t="shared" si="22"/>
        <v>361</v>
      </c>
      <c r="F237" s="5">
        <f t="shared" si="23"/>
        <v>22.858916382444392</v>
      </c>
      <c r="G237" s="5">
        <f t="shared" si="24"/>
        <v>-0.32475980643384617</v>
      </c>
      <c r="H237" s="5">
        <f t="shared" si="25"/>
        <v>0.10546893187494923</v>
      </c>
      <c r="I237" s="5">
        <f t="shared" si="26"/>
        <v>-1.5981810311217508</v>
      </c>
      <c r="J237" s="5">
        <f t="shared" si="27"/>
        <v>2.5541826082373826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Idrissa Iyamuremye</dc:creator>
  <cp:lastModifiedBy>Idrissa Iyamuremye</cp:lastModifiedBy>
  <dcterms:created xsi:type="dcterms:W3CDTF">2025-11-28T18:32:58Z</dcterms:created>
  <dcterms:modified xsi:type="dcterms:W3CDTF">2025-11-28T18:34:50Z</dcterms:modified>
</cp:coreProperties>
</file>